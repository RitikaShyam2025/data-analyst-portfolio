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S.Ritika sha\Desktop\excel project\"/>
    </mc:Choice>
  </mc:AlternateContent>
  <xr:revisionPtr revIDLastSave="0" documentId="13_ncr:1_{4BFC4A72-558C-4B01-934A-8582848C2B1D}" xr6:coauthVersionLast="47" xr6:coauthVersionMax="47" xr10:uidLastSave="{00000000-0000-0000-0000-000000000000}"/>
  <bookViews>
    <workbookView xWindow="-120" yWindow="-120" windowWidth="29040" windowHeight="15720" activeTab="1" xr2:uid="{00000000-000D-0000-FFFF-FFFF00000000}"/>
  </bookViews>
  <sheets>
    <sheet name="Ecommerce_Data" sheetId="1" r:id="rId1"/>
    <sheet name="DASHBOARD" sheetId="11" r:id="rId2"/>
    <sheet name="KPI" sheetId="3" r:id="rId3"/>
    <sheet name="MONTHLY SALES" sheetId="4" r:id="rId4"/>
    <sheet name="SALES BY DISTRICT" sheetId="5" r:id="rId5"/>
    <sheet name="SALES BY CATEGORY" sheetId="6" r:id="rId6"/>
    <sheet name="ORDER STATUS" sheetId="7" r:id="rId7"/>
    <sheet name="PAYMENT METHOD" sheetId="8" r:id="rId8"/>
    <sheet name="SALES CHANNEL" sheetId="9" r:id="rId9"/>
    <sheet name="TOP PRODUCTS" sheetId="10" r:id="rId10"/>
  </sheets>
  <definedNames>
    <definedName name="_xlnm._FilterDatabase" localSheetId="0" hidden="1">Ecommerce_Data!$A$1:$W$501</definedName>
    <definedName name="NativeTimeline_Order_Date">#N/A</definedName>
    <definedName name="Slicer_Category">#N/A</definedName>
    <definedName name="Slicer_District">#N/A</definedName>
    <definedName name="Slicer_Order_Status">#N/A</definedName>
    <definedName name="Slicer_Payment_Method">#N/A</definedName>
    <definedName name="Slicer_Sales_Channel">#N/A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 i="11" l="1"/>
  <c r="D7" i="11"/>
  <c r="G7" i="11"/>
  <c r="J7" i="11"/>
  <c r="P7" i="1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alcChain>
</file>

<file path=xl/sharedStrings.xml><?xml version="1.0" encoding="utf-8"?>
<sst xmlns="http://schemas.openxmlformats.org/spreadsheetml/2006/main" count="5605" uniqueCount="839">
  <si>
    <t>Order_ID</t>
  </si>
  <si>
    <t>Customer_ID</t>
  </si>
  <si>
    <t>Order_Date</t>
  </si>
  <si>
    <t>City</t>
  </si>
  <si>
    <t>District</t>
  </si>
  <si>
    <t>Gender</t>
  </si>
  <si>
    <t>Customer_Age</t>
  </si>
  <si>
    <t>Age_Group</t>
  </si>
  <si>
    <t>Category</t>
  </si>
  <si>
    <t>Product</t>
  </si>
  <si>
    <t>Quantity</t>
  </si>
  <si>
    <t>Unit_Price_INR</t>
  </si>
  <si>
    <t>Discount_Amount_INR</t>
  </si>
  <si>
    <t>Order_Value_INR</t>
  </si>
  <si>
    <t>Shipping_Charge_INR</t>
  </si>
  <si>
    <t>Total_Amount_INR</t>
  </si>
  <si>
    <t>Payment_Method</t>
  </si>
  <si>
    <t>Sales_Channel</t>
  </si>
  <si>
    <t>Order_Status</t>
  </si>
  <si>
    <t>Delivery_Days</t>
  </si>
  <si>
    <t>Customer_Rating</t>
  </si>
  <si>
    <t>TNORD0001</t>
  </si>
  <si>
    <t>TNCUST0060</t>
  </si>
  <si>
    <t>Dindigul</t>
  </si>
  <si>
    <t>Other</t>
  </si>
  <si>
    <t>56+</t>
  </si>
  <si>
    <t>Electronics</t>
  </si>
  <si>
    <t>Smartphone</t>
  </si>
  <si>
    <t>UPI</t>
  </si>
  <si>
    <t>Marketplace</t>
  </si>
  <si>
    <t>Delivered</t>
  </si>
  <si>
    <t>TNORD0002</t>
  </si>
  <si>
    <t>TNCUST0072</t>
  </si>
  <si>
    <t>Tiruchirappalli</t>
  </si>
  <si>
    <t>Male</t>
  </si>
  <si>
    <t>26-35</t>
  </si>
  <si>
    <t>Sports</t>
  </si>
  <si>
    <t>Badminton Racket</t>
  </si>
  <si>
    <t>Debit Card</t>
  </si>
  <si>
    <t>Website</t>
  </si>
  <si>
    <t>Shipped</t>
  </si>
  <si>
    <t>TNORD0003</t>
  </si>
  <si>
    <t>TNCUST0159</t>
  </si>
  <si>
    <t>Coimbatore</t>
  </si>
  <si>
    <t>Female</t>
  </si>
  <si>
    <t>Grocery</t>
  </si>
  <si>
    <t>Rice</t>
  </si>
  <si>
    <t>Credit Card</t>
  </si>
  <si>
    <t>TNORD0004</t>
  </si>
  <si>
    <t>TNCUST0172</t>
  </si>
  <si>
    <t>18-25</t>
  </si>
  <si>
    <t>Laptop</t>
  </si>
  <si>
    <t>Net Banking</t>
  </si>
  <si>
    <t>Processing</t>
  </si>
  <si>
    <t>TNORD0005</t>
  </si>
  <si>
    <t>TNCUST0207</t>
  </si>
  <si>
    <t>Madurai</t>
  </si>
  <si>
    <t>46-55</t>
  </si>
  <si>
    <t>Beauty</t>
  </si>
  <si>
    <t>Shampoo</t>
  </si>
  <si>
    <t>TNORD0006</t>
  </si>
  <si>
    <t>TNCUST0110</t>
  </si>
  <si>
    <t>Moisturizer</t>
  </si>
  <si>
    <t>TNORD0007</t>
  </si>
  <si>
    <t>TNCUST0065</t>
  </si>
  <si>
    <t>Sunscreen</t>
  </si>
  <si>
    <t>Wallet</t>
  </si>
  <si>
    <t>TNORD0008</t>
  </si>
  <si>
    <t>TNCUST0130</t>
  </si>
  <si>
    <t>36-45</t>
  </si>
  <si>
    <t>Returned</t>
  </si>
  <si>
    <t>TNORD0009</t>
  </si>
  <si>
    <t>TNCUST0225</t>
  </si>
  <si>
    <t>Thanjavur</t>
  </si>
  <si>
    <t>Fashion</t>
  </si>
  <si>
    <t>Kurta</t>
  </si>
  <si>
    <t>TNORD0010</t>
  </si>
  <si>
    <t>TNCUST0183</t>
  </si>
  <si>
    <t>Vellore</t>
  </si>
  <si>
    <t>Power Bank</t>
  </si>
  <si>
    <t>Cancelled</t>
  </si>
  <si>
    <t>TNORD0011</t>
  </si>
  <si>
    <t>TNCUST0162</t>
  </si>
  <si>
    <t>Tirunelveli</t>
  </si>
  <si>
    <t>Tea</t>
  </si>
  <si>
    <t>TNORD0012</t>
  </si>
  <si>
    <t>TNCUST0201</t>
  </si>
  <si>
    <t>Kanchipuram</t>
  </si>
  <si>
    <t>Home &amp; Kitchen</t>
  </si>
  <si>
    <t>Mixer Grinder</t>
  </si>
  <si>
    <t>TNORD0013</t>
  </si>
  <si>
    <t>TNCUST0050</t>
  </si>
  <si>
    <t>Running Shoes</t>
  </si>
  <si>
    <t>Cash on Delivery</t>
  </si>
  <si>
    <t>TNORD0014</t>
  </si>
  <si>
    <t>TNCUST0043</t>
  </si>
  <si>
    <t>Erode</t>
  </si>
  <si>
    <t>T-Shirt</t>
  </si>
  <si>
    <t>TNORD0015</t>
  </si>
  <si>
    <t>TNCUST0049</t>
  </si>
  <si>
    <t>TNORD0016</t>
  </si>
  <si>
    <t>TNCUST0153</t>
  </si>
  <si>
    <t>Hosur</t>
  </si>
  <si>
    <t>Krishnagiri</t>
  </si>
  <si>
    <t>Face Wash</t>
  </si>
  <si>
    <t>TNORD0017</t>
  </si>
  <si>
    <t>TNCUST0068</t>
  </si>
  <si>
    <t>Karur</t>
  </si>
  <si>
    <t>TNORD0018</t>
  </si>
  <si>
    <t>TNCUST0073</t>
  </si>
  <si>
    <t>Salem</t>
  </si>
  <si>
    <t>Spices</t>
  </si>
  <si>
    <t>TNORD0019</t>
  </si>
  <si>
    <t>TNCUST0054</t>
  </si>
  <si>
    <t>Perfume</t>
  </si>
  <si>
    <t>TNORD0020</t>
  </si>
  <si>
    <t>TNCUST0190</t>
  </si>
  <si>
    <t>Storage Box</t>
  </si>
  <si>
    <t>Mobile App</t>
  </si>
  <si>
    <t>TNORD0021</t>
  </si>
  <si>
    <t>Thoothukudi</t>
  </si>
  <si>
    <t>TNORD0022</t>
  </si>
  <si>
    <t>TNCUST0208</t>
  </si>
  <si>
    <t>TNORD0023</t>
  </si>
  <si>
    <t>TNCUST0222</t>
  </si>
  <si>
    <t>TNORD0024</t>
  </si>
  <si>
    <t>TNCUST0156</t>
  </si>
  <si>
    <t>TNORD0025</t>
  </si>
  <si>
    <t>TNCUST0218</t>
  </si>
  <si>
    <t>TNORD0026</t>
  </si>
  <si>
    <t>TNCUST0104</t>
  </si>
  <si>
    <t>TNORD0027</t>
  </si>
  <si>
    <t>TNCUST0132</t>
  </si>
  <si>
    <t>TNORD0028</t>
  </si>
  <si>
    <t>TNCUST0148</t>
  </si>
  <si>
    <t>TNORD0029</t>
  </si>
  <si>
    <t>TNCUST0171</t>
  </si>
  <si>
    <t>Saree</t>
  </si>
  <si>
    <t>TNORD0030</t>
  </si>
  <si>
    <t>TNCUST0197</t>
  </si>
  <si>
    <t>Nagercoil</t>
  </si>
  <si>
    <t>Kanyakumari</t>
  </si>
  <si>
    <t>TNORD0031</t>
  </si>
  <si>
    <t>TNCUST0055</t>
  </si>
  <si>
    <t>TNORD0032</t>
  </si>
  <si>
    <t>TNCUST0138</t>
  </si>
  <si>
    <t>Snacks</t>
  </si>
  <si>
    <t>TNORD0033</t>
  </si>
  <si>
    <t>TNCUST0137</t>
  </si>
  <si>
    <t>TNORD0034</t>
  </si>
  <si>
    <t>TNCUST0193</t>
  </si>
  <si>
    <t>TNORD0035</t>
  </si>
  <si>
    <t>TNCUST0122</t>
  </si>
  <si>
    <t>Chennai</t>
  </si>
  <si>
    <t>TNORD0036</t>
  </si>
  <si>
    <t>TNCUST0242</t>
  </si>
  <si>
    <t>Yoga Mat</t>
  </si>
  <si>
    <t>TNORD0037</t>
  </si>
  <si>
    <t>TNCUST0088</t>
  </si>
  <si>
    <t>Football</t>
  </si>
  <si>
    <t>TNORD0038</t>
  </si>
  <si>
    <t>TNCUST0069</t>
  </si>
  <si>
    <t>Water Bottle</t>
  </si>
  <si>
    <t>TNORD0039</t>
  </si>
  <si>
    <t>TNCUST0180</t>
  </si>
  <si>
    <t>Cooking Oil</t>
  </si>
  <si>
    <t>TNORD0040</t>
  </si>
  <si>
    <t>TNCUST0178</t>
  </si>
  <si>
    <t>TNORD0041</t>
  </si>
  <si>
    <t>TNCUST0031</t>
  </si>
  <si>
    <t>TNORD0042</t>
  </si>
  <si>
    <t>TNCUST0071</t>
  </si>
  <si>
    <t>Jeans</t>
  </si>
  <si>
    <t>TNORD0043</t>
  </si>
  <si>
    <t>TNCUST0211</t>
  </si>
  <si>
    <t>TNORD0044</t>
  </si>
  <si>
    <t>TNCUST0058</t>
  </si>
  <si>
    <t>Cricket Bat</t>
  </si>
  <si>
    <t>TNORD0045</t>
  </si>
  <si>
    <t>TNCUST0020</t>
  </si>
  <si>
    <t>TNORD0046</t>
  </si>
  <si>
    <t>TNCUST0170</t>
  </si>
  <si>
    <t>TNORD0047</t>
  </si>
  <si>
    <t>TNCUST0120</t>
  </si>
  <si>
    <t>TNORD0048</t>
  </si>
  <si>
    <t>TNCUST0244</t>
  </si>
  <si>
    <t>TNORD0049</t>
  </si>
  <si>
    <t>TNCUST0083</t>
  </si>
  <si>
    <t>TNORD0050</t>
  </si>
  <si>
    <t>TNCUST0169</t>
  </si>
  <si>
    <t>TNORD0051</t>
  </si>
  <si>
    <t>TNCUST0008</t>
  </si>
  <si>
    <t>TNORD0052</t>
  </si>
  <si>
    <t>TNCUST0239</t>
  </si>
  <si>
    <t>TNORD0053</t>
  </si>
  <si>
    <t>TNCUST0198</t>
  </si>
  <si>
    <t>TNORD0054</t>
  </si>
  <si>
    <t>TNCUST0179</t>
  </si>
  <si>
    <t>Headphones</t>
  </si>
  <si>
    <t>TNORD0055</t>
  </si>
  <si>
    <t>TNCUST0026</t>
  </si>
  <si>
    <t>TNORD0056</t>
  </si>
  <si>
    <t>TNCUST0161</t>
  </si>
  <si>
    <t>TNORD0057</t>
  </si>
  <si>
    <t>TNCUST0232</t>
  </si>
  <si>
    <t>TNORD0058</t>
  </si>
  <si>
    <t>TNCUST0175</t>
  </si>
  <si>
    <t>Bedsheet</t>
  </si>
  <si>
    <t>TNORD0059</t>
  </si>
  <si>
    <t>TNCUST0164</t>
  </si>
  <si>
    <t>TNORD0060</t>
  </si>
  <si>
    <t>TNCUST0145</t>
  </si>
  <si>
    <t>TNORD0061</t>
  </si>
  <si>
    <t>Cookware Set</t>
  </si>
  <si>
    <t>TNORD0062</t>
  </si>
  <si>
    <t>TNCUST0234</t>
  </si>
  <si>
    <t>TNORD0063</t>
  </si>
  <si>
    <t>TNCUST0203</t>
  </si>
  <si>
    <t>TNORD0064</t>
  </si>
  <si>
    <t>TNCUST0166</t>
  </si>
  <si>
    <t>TNORD0065</t>
  </si>
  <si>
    <t>TNORD0066</t>
  </si>
  <si>
    <t>TNCUST0176</t>
  </si>
  <si>
    <t>TNORD0067</t>
  </si>
  <si>
    <t>TNCUST0202</t>
  </si>
  <si>
    <t>TNORD0068</t>
  </si>
  <si>
    <t>TNCUST0034</t>
  </si>
  <si>
    <t>TNORD0069</t>
  </si>
  <si>
    <t>TNCUST0116</t>
  </si>
  <si>
    <t>TNORD0070</t>
  </si>
  <si>
    <t>TNCUST0231</t>
  </si>
  <si>
    <t>TNORD0071</t>
  </si>
  <si>
    <t>TNORD0072</t>
  </si>
  <si>
    <t>TNCUST0018</t>
  </si>
  <si>
    <t>TNORD0073</t>
  </si>
  <si>
    <t>TNCUST0014</t>
  </si>
  <si>
    <t>TNORD0074</t>
  </si>
  <si>
    <t>TNCUST0147</t>
  </si>
  <si>
    <t>TNORD0075</t>
  </si>
  <si>
    <t>TNORD0076</t>
  </si>
  <si>
    <t>TNCUST0022</t>
  </si>
  <si>
    <t>TNORD0077</t>
  </si>
  <si>
    <t>TNCUST0029</t>
  </si>
  <si>
    <t>TNORD0078</t>
  </si>
  <si>
    <t>TNORD0079</t>
  </si>
  <si>
    <t>TNORD0080</t>
  </si>
  <si>
    <t>TNCUST0103</t>
  </si>
  <si>
    <t>TNORD0081</t>
  </si>
  <si>
    <t>TNCUST0209</t>
  </si>
  <si>
    <t>TNORD0082</t>
  </si>
  <si>
    <t>TNCUST0163</t>
  </si>
  <si>
    <t>TNORD0083</t>
  </si>
  <si>
    <t>TNCUST0095</t>
  </si>
  <si>
    <t>TNORD0084</t>
  </si>
  <si>
    <t>TNCUST0039</t>
  </si>
  <si>
    <t>TNORD0085</t>
  </si>
  <si>
    <t>TNCUST0174</t>
  </si>
  <si>
    <t>TNORD0086</t>
  </si>
  <si>
    <t>TNCUST0150</t>
  </si>
  <si>
    <t>TNORD0087</t>
  </si>
  <si>
    <t>TNCUST0024</t>
  </si>
  <si>
    <t>TNORD0088</t>
  </si>
  <si>
    <t>TNCUST0227</t>
  </si>
  <si>
    <t>TNORD0089</t>
  </si>
  <si>
    <t>TNCUST0094</t>
  </si>
  <si>
    <t>TNORD0090</t>
  </si>
  <si>
    <t>TNCUST0129</t>
  </si>
  <si>
    <t>TNORD0091</t>
  </si>
  <si>
    <t>TNCUST0196</t>
  </si>
  <si>
    <t>TNORD0092</t>
  </si>
  <si>
    <t>TNCUST0082</t>
  </si>
  <si>
    <t>TNORD0093</t>
  </si>
  <si>
    <t>TNORD0094</t>
  </si>
  <si>
    <t>TNCUST0075</t>
  </si>
  <si>
    <t>TNORD0095</t>
  </si>
  <si>
    <t>TNCUST0224</t>
  </si>
  <si>
    <t>TNORD0096</t>
  </si>
  <si>
    <t>TNCUST0087</t>
  </si>
  <si>
    <t>TNORD0097</t>
  </si>
  <si>
    <t>TNORD0098</t>
  </si>
  <si>
    <t>TNCUST0128</t>
  </si>
  <si>
    <t>TNORD0099</t>
  </si>
  <si>
    <t>TNCUST0184</t>
  </si>
  <si>
    <t>Smartwatch</t>
  </si>
  <si>
    <t>TNORD0100</t>
  </si>
  <si>
    <t>TNORD0101</t>
  </si>
  <si>
    <t>TNORD0102</t>
  </si>
  <si>
    <t>TNCUST0052</t>
  </si>
  <si>
    <t>TNORD0103</t>
  </si>
  <si>
    <t>TNCUST0045</t>
  </si>
  <si>
    <t>TNORD0104</t>
  </si>
  <si>
    <t>TNORD0105</t>
  </si>
  <si>
    <t>TNORD0106</t>
  </si>
  <si>
    <t>TNCUST0051</t>
  </si>
  <si>
    <t>TNORD0107</t>
  </si>
  <si>
    <t>TNCUST0011</t>
  </si>
  <si>
    <t>TNORD0108</t>
  </si>
  <si>
    <t>TNCUST0117</t>
  </si>
  <si>
    <t>TNORD0109</t>
  </si>
  <si>
    <t>TNCUST0195</t>
  </si>
  <si>
    <t>TNORD0110</t>
  </si>
  <si>
    <t>TNCUST0247</t>
  </si>
  <si>
    <t>TNORD0111</t>
  </si>
  <si>
    <t>TNORD0112</t>
  </si>
  <si>
    <t>TNORD0113</t>
  </si>
  <si>
    <t>TNCUST0096</t>
  </si>
  <si>
    <t>TNORD0114</t>
  </si>
  <si>
    <t>TNCUST0229</t>
  </si>
  <si>
    <t>TNORD0115</t>
  </si>
  <si>
    <t>TNCUST0085</t>
  </si>
  <si>
    <t>TNORD0116</t>
  </si>
  <si>
    <t>TNCUST0038</t>
  </si>
  <si>
    <t>TNORD0117</t>
  </si>
  <si>
    <t>TNCUST0036</t>
  </si>
  <si>
    <t>TNORD0118</t>
  </si>
  <si>
    <t>TNCUST0157</t>
  </si>
  <si>
    <t>TNORD0119</t>
  </si>
  <si>
    <t>TNORD0120</t>
  </si>
  <si>
    <t>TNORD0121</t>
  </si>
  <si>
    <t>TNORD0122</t>
  </si>
  <si>
    <t>TNORD0123</t>
  </si>
  <si>
    <t>TNCUST0140</t>
  </si>
  <si>
    <t>TNORD0124</t>
  </si>
  <si>
    <t>TNORD0125</t>
  </si>
  <si>
    <t>TNCUST0078</t>
  </si>
  <si>
    <t>TNORD0126</t>
  </si>
  <si>
    <t>TNCUST0177</t>
  </si>
  <si>
    <t>TNORD0127</t>
  </si>
  <si>
    <t>TNORD0128</t>
  </si>
  <si>
    <t>TNCUST0030</t>
  </si>
  <si>
    <t>TNORD0129</t>
  </si>
  <si>
    <t>TNCUST0006</t>
  </si>
  <si>
    <t>TNORD0130</t>
  </si>
  <si>
    <t>TNCUST0047</t>
  </si>
  <si>
    <t>TNORD0131</t>
  </si>
  <si>
    <t>TNCUST0077</t>
  </si>
  <si>
    <t>TNORD0132</t>
  </si>
  <si>
    <t>TNORD0133</t>
  </si>
  <si>
    <t>TNORD0134</t>
  </si>
  <si>
    <t>TNCUST0127</t>
  </si>
  <si>
    <t>TNORD0135</t>
  </si>
  <si>
    <t>TNCUST0235</t>
  </si>
  <si>
    <t>TNORD0136</t>
  </si>
  <si>
    <t>TNORD0137</t>
  </si>
  <si>
    <t>TNCUST0194</t>
  </si>
  <si>
    <t>TNORD0138</t>
  </si>
  <si>
    <t>TNORD0139</t>
  </si>
  <si>
    <t>TNCUST0059</t>
  </si>
  <si>
    <t>TNORD0140</t>
  </si>
  <si>
    <t>TNCUST0165</t>
  </si>
  <si>
    <t>TNORD0141</t>
  </si>
  <si>
    <t>TNORD0142</t>
  </si>
  <si>
    <t>TNORD0143</t>
  </si>
  <si>
    <t>TNORD0144</t>
  </si>
  <si>
    <t>TNORD0145</t>
  </si>
  <si>
    <t>TNCUST0238</t>
  </si>
  <si>
    <t>TNORD0146</t>
  </si>
  <si>
    <t>TNORD0147</t>
  </si>
  <si>
    <t>TNCUST0092</t>
  </si>
  <si>
    <t>TNORD0148</t>
  </si>
  <si>
    <t>TNORD0149</t>
  </si>
  <si>
    <t>TNCUST0142</t>
  </si>
  <si>
    <t>TNORD0150</t>
  </si>
  <si>
    <t>TNORD0151</t>
  </si>
  <si>
    <t>TNCUST0028</t>
  </si>
  <si>
    <t>TNORD0152</t>
  </si>
  <si>
    <t>TNORD0153</t>
  </si>
  <si>
    <t>TNORD0154</t>
  </si>
  <si>
    <t>TNCUST0115</t>
  </si>
  <si>
    <t>TNORD0155</t>
  </si>
  <si>
    <t>TNCUST0012</t>
  </si>
  <si>
    <t>TNORD0156</t>
  </si>
  <si>
    <t>TNORD0157</t>
  </si>
  <si>
    <t>TNORD0158</t>
  </si>
  <si>
    <t>TNCUST0246</t>
  </si>
  <si>
    <t>TNORD0159</t>
  </si>
  <si>
    <t>TNCUST0027</t>
  </si>
  <si>
    <t>TNORD0160</t>
  </si>
  <si>
    <t>TNCUST0181</t>
  </si>
  <si>
    <t>TNORD0161</t>
  </si>
  <si>
    <t>TNCUST0109</t>
  </si>
  <si>
    <t>TNORD0162</t>
  </si>
  <si>
    <t>TNORD0163</t>
  </si>
  <si>
    <t>TNCUST0200</t>
  </si>
  <si>
    <t>TNORD0164</t>
  </si>
  <si>
    <t>TNORD0165</t>
  </si>
  <si>
    <t>TNORD0166</t>
  </si>
  <si>
    <t>TNORD0167</t>
  </si>
  <si>
    <t>TNCUST0107</t>
  </si>
  <si>
    <t>TNORD0168</t>
  </si>
  <si>
    <t>TNORD0169</t>
  </si>
  <si>
    <t>TNORD0170</t>
  </si>
  <si>
    <t>TNORD0171</t>
  </si>
  <si>
    <t>TNORD0172</t>
  </si>
  <si>
    <t>TNCUST0226</t>
  </si>
  <si>
    <t>TNORD0173</t>
  </si>
  <si>
    <t>TNCUST0114</t>
  </si>
  <si>
    <t>TNORD0174</t>
  </si>
  <si>
    <t>TNORD0175</t>
  </si>
  <si>
    <t>TNCUST0019</t>
  </si>
  <si>
    <t>TNORD0176</t>
  </si>
  <si>
    <t>TNCUST0243</t>
  </si>
  <si>
    <t>TNORD0177</t>
  </si>
  <si>
    <t>TNCUST0084</t>
  </si>
  <si>
    <t>TNORD0178</t>
  </si>
  <si>
    <t>TNORD0179</t>
  </si>
  <si>
    <t>TNORD0180</t>
  </si>
  <si>
    <t>TNORD0181</t>
  </si>
  <si>
    <t>TNCUST0108</t>
  </si>
  <si>
    <t>Handbag</t>
  </si>
  <si>
    <t>TNORD0182</t>
  </si>
  <si>
    <t>TNORD0183</t>
  </si>
  <si>
    <t>TNORD0184</t>
  </si>
  <si>
    <t>TNCUST0061</t>
  </si>
  <si>
    <t>TNORD0185</t>
  </si>
  <si>
    <t>TNCUST0152</t>
  </si>
  <si>
    <t>TNORD0186</t>
  </si>
  <si>
    <t>TNCUST0040</t>
  </si>
  <si>
    <t>TNORD0187</t>
  </si>
  <si>
    <t>TNCUST0056</t>
  </si>
  <si>
    <t>TNORD0188</t>
  </si>
  <si>
    <t>TNCUST0064</t>
  </si>
  <si>
    <t>TNORD0189</t>
  </si>
  <si>
    <t>TNCUST0017</t>
  </si>
  <si>
    <t>TNORD0190</t>
  </si>
  <si>
    <t>TNCUST0091</t>
  </si>
  <si>
    <t>TNORD0191</t>
  </si>
  <si>
    <t>TNORD0192</t>
  </si>
  <si>
    <t>TNORD0193</t>
  </si>
  <si>
    <t>TNCUST0217</t>
  </si>
  <si>
    <t>TNORD0194</t>
  </si>
  <si>
    <t>TNORD0195</t>
  </si>
  <si>
    <t>TNCUST0016</t>
  </si>
  <si>
    <t>TNORD0196</t>
  </si>
  <si>
    <t>TNORD0197</t>
  </si>
  <si>
    <t>TNORD0198</t>
  </si>
  <si>
    <t>TNORD0199</t>
  </si>
  <si>
    <t>TNCUST0090</t>
  </si>
  <si>
    <t>TNORD0200</t>
  </si>
  <si>
    <t>TNCUST0042</t>
  </si>
  <si>
    <t>TNORD0201</t>
  </si>
  <si>
    <t>TNCUST0237</t>
  </si>
  <si>
    <t>TNORD0202</t>
  </si>
  <si>
    <t>TNORD0203</t>
  </si>
  <si>
    <t>TNCUST0100</t>
  </si>
  <si>
    <t>TNORD0204</t>
  </si>
  <si>
    <t>TNORD0205</t>
  </si>
  <si>
    <t>TNORD0206</t>
  </si>
  <si>
    <t>TNORD0207</t>
  </si>
  <si>
    <t>TNCUST0134</t>
  </si>
  <si>
    <t>TNORD0208</t>
  </si>
  <si>
    <t>TNCUST0168</t>
  </si>
  <si>
    <t>TNORD0209</t>
  </si>
  <si>
    <t>TNORD0210</t>
  </si>
  <si>
    <t>TNORD0211</t>
  </si>
  <si>
    <t>TNCUST0009</t>
  </si>
  <si>
    <t>TNORD0212</t>
  </si>
  <si>
    <t>TNCUST0089</t>
  </si>
  <si>
    <t>TNORD0213</t>
  </si>
  <si>
    <t>TNORD0214</t>
  </si>
  <si>
    <t>TNORD0215</t>
  </si>
  <si>
    <t>TNORD0216</t>
  </si>
  <si>
    <t>TNCUST0189</t>
  </si>
  <si>
    <t>TNORD0217</t>
  </si>
  <si>
    <t>TNCUST0025</t>
  </si>
  <si>
    <t>TNORD0218</t>
  </si>
  <si>
    <t>TNCUST0076</t>
  </si>
  <si>
    <t>TNORD0219</t>
  </si>
  <si>
    <t>TNORD0220</t>
  </si>
  <si>
    <t>TNORD0221</t>
  </si>
  <si>
    <t>TNCUST0005</t>
  </si>
  <si>
    <t>TNORD0222</t>
  </si>
  <si>
    <t>TNORD0223</t>
  </si>
  <si>
    <t>TNORD0224</t>
  </si>
  <si>
    <t>TNORD0225</t>
  </si>
  <si>
    <t>TNCUST0131</t>
  </si>
  <si>
    <t>TNORD0226</t>
  </si>
  <si>
    <t>TNORD0227</t>
  </si>
  <si>
    <t>TNORD0228</t>
  </si>
  <si>
    <t>TNORD0229</t>
  </si>
  <si>
    <t>TNORD0230</t>
  </si>
  <si>
    <t>TNORD0231</t>
  </si>
  <si>
    <t>TNORD0232</t>
  </si>
  <si>
    <t>TNORD0233</t>
  </si>
  <si>
    <t>TNORD0234</t>
  </si>
  <si>
    <t>TNCUST0144</t>
  </si>
  <si>
    <t>TNORD0235</t>
  </si>
  <si>
    <t>TNCUST0213</t>
  </si>
  <si>
    <t>TNORD0236</t>
  </si>
  <si>
    <t>TNORD0237</t>
  </si>
  <si>
    <t>TNORD0238</t>
  </si>
  <si>
    <t>TNORD0239</t>
  </si>
  <si>
    <t>TNORD0240</t>
  </si>
  <si>
    <t>TNORD0241</t>
  </si>
  <si>
    <t>TNORD0242</t>
  </si>
  <si>
    <t>TNCUST0245</t>
  </si>
  <si>
    <t>TNORD0243</t>
  </si>
  <si>
    <t>TNORD0244</t>
  </si>
  <si>
    <t>TNORD0245</t>
  </si>
  <si>
    <t>TNCUST0041</t>
  </si>
  <si>
    <t>TNORD0246</t>
  </si>
  <si>
    <t>TNORD0247</t>
  </si>
  <si>
    <t>TNCUST0125</t>
  </si>
  <si>
    <t>TNORD0248</t>
  </si>
  <si>
    <t>TNCUST0214</t>
  </si>
  <si>
    <t>TNORD0249</t>
  </si>
  <si>
    <t>TNORD0250</t>
  </si>
  <si>
    <t>TNORD0251</t>
  </si>
  <si>
    <t>TNORD0252</t>
  </si>
  <si>
    <t>TNCUST0192</t>
  </si>
  <si>
    <t>TNORD0253</t>
  </si>
  <si>
    <t>TNCUST0119</t>
  </si>
  <si>
    <t>TNORD0254</t>
  </si>
  <si>
    <t>TNORD0255</t>
  </si>
  <si>
    <t>TNORD0256</t>
  </si>
  <si>
    <t>TNORD0257</t>
  </si>
  <si>
    <t>TNCUST0121</t>
  </si>
  <si>
    <t>TNORD0258</t>
  </si>
  <si>
    <t>TNORD0259</t>
  </si>
  <si>
    <t>TNORD0260</t>
  </si>
  <si>
    <t>TNCUST0133</t>
  </si>
  <si>
    <t>TNORD0261</t>
  </si>
  <si>
    <t>TNORD0262</t>
  </si>
  <si>
    <t>TNCUST0033</t>
  </si>
  <si>
    <t>TNORD0263</t>
  </si>
  <si>
    <t>TNORD0264</t>
  </si>
  <si>
    <t>TNORD0265</t>
  </si>
  <si>
    <t>TNCUST0046</t>
  </si>
  <si>
    <t>TNORD0266</t>
  </si>
  <si>
    <t>TNORD0267</t>
  </si>
  <si>
    <t>TNCUST0105</t>
  </si>
  <si>
    <t>TNORD0268</t>
  </si>
  <si>
    <t>TNORD0269</t>
  </si>
  <si>
    <t>TNCUST0143</t>
  </si>
  <si>
    <t>TNORD0270</t>
  </si>
  <si>
    <t>TNORD0271</t>
  </si>
  <si>
    <t>TNCUST0074</t>
  </si>
  <si>
    <t>TNORD0272</t>
  </si>
  <si>
    <t>TNCUST0010</t>
  </si>
  <si>
    <t>TNORD0273</t>
  </si>
  <si>
    <t>TNCUST0186</t>
  </si>
  <si>
    <t>TNORD0274</t>
  </si>
  <si>
    <t>TNORD0275</t>
  </si>
  <si>
    <t>TNCUST0124</t>
  </si>
  <si>
    <t>TNORD0276</t>
  </si>
  <si>
    <t>TNORD0277</t>
  </si>
  <si>
    <t>TNORD0278</t>
  </si>
  <si>
    <t>TNCUST0126</t>
  </si>
  <si>
    <t>TNORD0279</t>
  </si>
  <si>
    <t>TNORD0280</t>
  </si>
  <si>
    <t>TNORD0281</t>
  </si>
  <si>
    <t>TNCUST0111</t>
  </si>
  <si>
    <t>TNORD0282</t>
  </si>
  <si>
    <t>TNCUST0013</t>
  </si>
  <si>
    <t>TNORD0283</t>
  </si>
  <si>
    <t>TNCUST0032</t>
  </si>
  <si>
    <t>TNORD0284</t>
  </si>
  <si>
    <t>TNORD0285</t>
  </si>
  <si>
    <t>TNCUST0102</t>
  </si>
  <si>
    <t>TNORD0286</t>
  </si>
  <si>
    <t>TNORD0287</t>
  </si>
  <si>
    <t>TNORD0288</t>
  </si>
  <si>
    <t>TNCUST0035</t>
  </si>
  <si>
    <t>TNORD0289</t>
  </si>
  <si>
    <t>TNCUST0106</t>
  </si>
  <si>
    <t>TNORD0290</t>
  </si>
  <si>
    <t>TNCUST0205</t>
  </si>
  <si>
    <t>TNORD0291</t>
  </si>
  <si>
    <t>TNCUST0021</t>
  </si>
  <si>
    <t>TNORD0292</t>
  </si>
  <si>
    <t>TNCUST0070</t>
  </si>
  <si>
    <t>TNORD0293</t>
  </si>
  <si>
    <t>TNORD0294</t>
  </si>
  <si>
    <t>TNORD0295</t>
  </si>
  <si>
    <t>TNORD0296</t>
  </si>
  <si>
    <t>TNCUST0004</t>
  </si>
  <si>
    <t>TNORD0297</t>
  </si>
  <si>
    <t>TNORD0298</t>
  </si>
  <si>
    <t>TNORD0299</t>
  </si>
  <si>
    <t>TNORD0300</t>
  </si>
  <si>
    <t>TNORD0301</t>
  </si>
  <si>
    <t>TNORD0302</t>
  </si>
  <si>
    <t>TNORD0303</t>
  </si>
  <si>
    <t>TNORD0304</t>
  </si>
  <si>
    <t>TNORD0305</t>
  </si>
  <si>
    <t>TNORD0306</t>
  </si>
  <si>
    <t>TNORD0307</t>
  </si>
  <si>
    <t>TNORD0308</t>
  </si>
  <si>
    <t>TNCUST0146</t>
  </si>
  <si>
    <t>TNORD0309</t>
  </si>
  <si>
    <t>TNORD0310</t>
  </si>
  <si>
    <t>TNORD0311</t>
  </si>
  <si>
    <t>TNORD0312</t>
  </si>
  <si>
    <t>TNORD0313</t>
  </si>
  <si>
    <t>TNCUST0160</t>
  </si>
  <si>
    <t>TNORD0314</t>
  </si>
  <si>
    <t>TNORD0315</t>
  </si>
  <si>
    <t>TNCUST0097</t>
  </si>
  <si>
    <t>TNORD0316</t>
  </si>
  <si>
    <t>TNORD0317</t>
  </si>
  <si>
    <t>TNORD0318</t>
  </si>
  <si>
    <t>TNORD0319</t>
  </si>
  <si>
    <t>TNORD0320</t>
  </si>
  <si>
    <t>TNORD0321</t>
  </si>
  <si>
    <t>TNORD0322</t>
  </si>
  <si>
    <t>TNORD0323</t>
  </si>
  <si>
    <t>TNORD0324</t>
  </si>
  <si>
    <t>TNORD0325</t>
  </si>
  <si>
    <t>TNORD0326</t>
  </si>
  <si>
    <t>TNORD0327</t>
  </si>
  <si>
    <t>TNCUST0141</t>
  </si>
  <si>
    <t>TNORD0328</t>
  </si>
  <si>
    <t>TNORD0329</t>
  </si>
  <si>
    <t>TNORD0330</t>
  </si>
  <si>
    <t>TNORD0331</t>
  </si>
  <si>
    <t>TNORD0332</t>
  </si>
  <si>
    <t>TNCUST0023</t>
  </si>
  <si>
    <t>TNORD0333</t>
  </si>
  <si>
    <t>TNORD0334</t>
  </si>
  <si>
    <t>TNORD0335</t>
  </si>
  <si>
    <t>TNORD0336</t>
  </si>
  <si>
    <t>TNORD0337</t>
  </si>
  <si>
    <t>TNORD0338</t>
  </si>
  <si>
    <t>TNORD0339</t>
  </si>
  <si>
    <t>TNORD0340</t>
  </si>
  <si>
    <t>TNORD0341</t>
  </si>
  <si>
    <t>TNORD0342</t>
  </si>
  <si>
    <t>TNCUST0139</t>
  </si>
  <si>
    <t>TNORD0343</t>
  </si>
  <si>
    <t>TNORD0344</t>
  </si>
  <si>
    <t>TNORD0345</t>
  </si>
  <si>
    <t>TNORD0346</t>
  </si>
  <si>
    <t>TNCUST0250</t>
  </si>
  <si>
    <t>TNORD0347</t>
  </si>
  <si>
    <t>TNORD0348</t>
  </si>
  <si>
    <t>TNORD0349</t>
  </si>
  <si>
    <t>TNCUST0204</t>
  </si>
  <si>
    <t>TNORD0350</t>
  </si>
  <si>
    <t>TNORD0351</t>
  </si>
  <si>
    <t>TNCUST0099</t>
  </si>
  <si>
    <t>TNORD0352</t>
  </si>
  <si>
    <t>TNORD0353</t>
  </si>
  <si>
    <t>TNORD0354</t>
  </si>
  <si>
    <t>TNCUST0188</t>
  </si>
  <si>
    <t>TNORD0355</t>
  </si>
  <si>
    <t>TNORD0356</t>
  </si>
  <si>
    <t>TNORD0357</t>
  </si>
  <si>
    <t>TNORD0358</t>
  </si>
  <si>
    <t>TNORD0359</t>
  </si>
  <si>
    <t>TNCUST0098</t>
  </si>
  <si>
    <t>TNORD0360</t>
  </si>
  <si>
    <t>TNCUST0236</t>
  </si>
  <si>
    <t>TNORD0361</t>
  </si>
  <si>
    <t>TNCUST0173</t>
  </si>
  <si>
    <t>TNORD0362</t>
  </si>
  <si>
    <t>TNORD0363</t>
  </si>
  <si>
    <t>TNORD0364</t>
  </si>
  <si>
    <t>TNORD0365</t>
  </si>
  <si>
    <t>TNORD0366</t>
  </si>
  <si>
    <t>TNCUST0001</t>
  </si>
  <si>
    <t>TNORD0367</t>
  </si>
  <si>
    <t>TNORD0368</t>
  </si>
  <si>
    <t>TNORD0369</t>
  </si>
  <si>
    <t>TNORD0370</t>
  </si>
  <si>
    <t>TNORD0371</t>
  </si>
  <si>
    <t>TNORD0372</t>
  </si>
  <si>
    <t>TNORD0373</t>
  </si>
  <si>
    <t>TNORD0374</t>
  </si>
  <si>
    <t>TNCUST0093</t>
  </si>
  <si>
    <t>TNORD0375</t>
  </si>
  <si>
    <t>TNORD0376</t>
  </si>
  <si>
    <t>TNCUST0149</t>
  </si>
  <si>
    <t>TNORD0377</t>
  </si>
  <si>
    <t>TNORD0378</t>
  </si>
  <si>
    <t>TNORD0379</t>
  </si>
  <si>
    <t>TNORD0380</t>
  </si>
  <si>
    <t>TNORD0381</t>
  </si>
  <si>
    <t>TNORD0382</t>
  </si>
  <si>
    <t>TNORD0383</t>
  </si>
  <si>
    <t>TNORD0384</t>
  </si>
  <si>
    <t>TNORD0385</t>
  </si>
  <si>
    <t>TNCUST0135</t>
  </si>
  <si>
    <t>TNORD0386</t>
  </si>
  <si>
    <t>TNORD0387</t>
  </si>
  <si>
    <t>TNORD0388</t>
  </si>
  <si>
    <t>TNORD0389</t>
  </si>
  <si>
    <t>TNORD0390</t>
  </si>
  <si>
    <t>TNORD0391</t>
  </si>
  <si>
    <t>TNORD0392</t>
  </si>
  <si>
    <t>TNORD0393</t>
  </si>
  <si>
    <t>TNORD0394</t>
  </si>
  <si>
    <t>TNORD0395</t>
  </si>
  <si>
    <t>TNORD0396</t>
  </si>
  <si>
    <t>TNORD0397</t>
  </si>
  <si>
    <t>TNORD0398</t>
  </si>
  <si>
    <t>TNORD0399</t>
  </si>
  <si>
    <t>TNORD0400</t>
  </si>
  <si>
    <t>TNORD0401</t>
  </si>
  <si>
    <t>TNORD0402</t>
  </si>
  <si>
    <t>TNCUST0037</t>
  </si>
  <si>
    <t>TNORD0403</t>
  </si>
  <si>
    <t>TNORD0404</t>
  </si>
  <si>
    <t>TNORD0405</t>
  </si>
  <si>
    <t>TNCUST0002</t>
  </si>
  <si>
    <t>TNORD0406</t>
  </si>
  <si>
    <t>TNORD0407</t>
  </si>
  <si>
    <t>TNORD0408</t>
  </si>
  <si>
    <t>TNORD0409</t>
  </si>
  <si>
    <t>TNORD0410</t>
  </si>
  <si>
    <t>TNORD0411</t>
  </si>
  <si>
    <t>TNORD0412</t>
  </si>
  <si>
    <t>TNORD0413</t>
  </si>
  <si>
    <t>TNORD0414</t>
  </si>
  <si>
    <t>TNORD0415</t>
  </si>
  <si>
    <t>TNORD0416</t>
  </si>
  <si>
    <t>TNORD0417</t>
  </si>
  <si>
    <t>TNCUST0216</t>
  </si>
  <si>
    <t>TNORD0418</t>
  </si>
  <si>
    <t>TNORD0419</t>
  </si>
  <si>
    <t>TNORD0420</t>
  </si>
  <si>
    <t>TNORD0421</t>
  </si>
  <si>
    <t>TNORD0422</t>
  </si>
  <si>
    <t>TNORD0423</t>
  </si>
  <si>
    <t>TNORD0424</t>
  </si>
  <si>
    <t>TNORD0425</t>
  </si>
  <si>
    <t>TNORD0426</t>
  </si>
  <si>
    <t>TNCUST0220</t>
  </si>
  <si>
    <t>TNORD0427</t>
  </si>
  <si>
    <t>TNORD0428</t>
  </si>
  <si>
    <t>TNORD0429</t>
  </si>
  <si>
    <t>TNORD0430</t>
  </si>
  <si>
    <t>TNORD0431</t>
  </si>
  <si>
    <t>TNORD0432</t>
  </si>
  <si>
    <t>TNCUST0187</t>
  </si>
  <si>
    <t>TNORD0433</t>
  </si>
  <si>
    <t>TNORD0434</t>
  </si>
  <si>
    <t>TNCUST0248</t>
  </si>
  <si>
    <t>TNORD0435</t>
  </si>
  <si>
    <t>TNORD0436</t>
  </si>
  <si>
    <t>TNORD0437</t>
  </si>
  <si>
    <t>TNORD0438</t>
  </si>
  <si>
    <t>TNORD0439</t>
  </si>
  <si>
    <t>TNORD0440</t>
  </si>
  <si>
    <t>TNORD0441</t>
  </si>
  <si>
    <t>TNORD0442</t>
  </si>
  <si>
    <t>TNORD0443</t>
  </si>
  <si>
    <t>TNORD0444</t>
  </si>
  <si>
    <t>TNORD0445</t>
  </si>
  <si>
    <t>TNORD0446</t>
  </si>
  <si>
    <t>TNORD0447</t>
  </si>
  <si>
    <t>TNORD0448</t>
  </si>
  <si>
    <t>TNORD0449</t>
  </si>
  <si>
    <t>TNCUST0086</t>
  </si>
  <si>
    <t>TNORD0450</t>
  </si>
  <si>
    <t>TNORD0451</t>
  </si>
  <si>
    <t>TNORD0452</t>
  </si>
  <si>
    <t>TNORD0453</t>
  </si>
  <si>
    <t>TNORD0454</t>
  </si>
  <si>
    <t>TNORD0455</t>
  </si>
  <si>
    <t>TNORD0456</t>
  </si>
  <si>
    <t>TNORD0457</t>
  </si>
  <si>
    <t>TNCUST0063</t>
  </si>
  <si>
    <t>TNORD0458</t>
  </si>
  <si>
    <t>TNCUST0081</t>
  </si>
  <si>
    <t>TNORD0459</t>
  </si>
  <si>
    <t>TNCUST0233</t>
  </si>
  <si>
    <t>TNORD0460</t>
  </si>
  <si>
    <t>TNORD0461</t>
  </si>
  <si>
    <t>TNORD0462</t>
  </si>
  <si>
    <t>TNORD0463</t>
  </si>
  <si>
    <t>TNORD0464</t>
  </si>
  <si>
    <t>TNCUST0151</t>
  </si>
  <si>
    <t>TNORD0465</t>
  </si>
  <si>
    <t>TNORD0466</t>
  </si>
  <si>
    <t>TNORD0467</t>
  </si>
  <si>
    <t>TNORD0468</t>
  </si>
  <si>
    <t>TNORD0469</t>
  </si>
  <si>
    <t>TNORD0470</t>
  </si>
  <si>
    <t>TNORD0471</t>
  </si>
  <si>
    <t>TNORD0472</t>
  </si>
  <si>
    <t>TNCUST0015</t>
  </si>
  <si>
    <t>TNORD0473</t>
  </si>
  <si>
    <t>TNORD0474</t>
  </si>
  <si>
    <t>TNCUST0167</t>
  </si>
  <si>
    <t>TNORD0475</t>
  </si>
  <si>
    <t>TNORD0476</t>
  </si>
  <si>
    <t>TNORD0477</t>
  </si>
  <si>
    <t>TNORD0478</t>
  </si>
  <si>
    <t>TNORD0479</t>
  </si>
  <si>
    <t>TNORD0480</t>
  </si>
  <si>
    <t>TNORD0481</t>
  </si>
  <si>
    <t>TNORD0482</t>
  </si>
  <si>
    <t>TNORD0483</t>
  </si>
  <si>
    <t>TNORD0484</t>
  </si>
  <si>
    <t>TNORD0485</t>
  </si>
  <si>
    <t>TNORD0486</t>
  </si>
  <si>
    <t>TNORD0487</t>
  </si>
  <si>
    <t>TNORD0488</t>
  </si>
  <si>
    <t>TNORD0489</t>
  </si>
  <si>
    <t>TNORD0490</t>
  </si>
  <si>
    <t>TNORD0491</t>
  </si>
  <si>
    <t>TNORD0492</t>
  </si>
  <si>
    <t>TNORD0493</t>
  </si>
  <si>
    <t>TNORD0494</t>
  </si>
  <si>
    <t>TNORD0495</t>
  </si>
  <si>
    <t>TNORD0496</t>
  </si>
  <si>
    <t>TNORD0497</t>
  </si>
  <si>
    <t>TNORD0498</t>
  </si>
  <si>
    <t>TNORD0499</t>
  </si>
  <si>
    <t>TNORD0500</t>
  </si>
  <si>
    <t>Discount</t>
  </si>
  <si>
    <t>Discount %</t>
  </si>
  <si>
    <t>Sum of Total_Amount_INR</t>
  </si>
  <si>
    <t>Count of Order_ID</t>
  </si>
  <si>
    <t>Average of Customer_Rating</t>
  </si>
  <si>
    <t>Average of Delivery_Days</t>
  </si>
  <si>
    <t>Row Labels</t>
  </si>
  <si>
    <t>Jan</t>
  </si>
  <si>
    <t>Feb</t>
  </si>
  <si>
    <t>Mar</t>
  </si>
  <si>
    <t>Apr</t>
  </si>
  <si>
    <t>May</t>
  </si>
  <si>
    <t>Jun</t>
  </si>
  <si>
    <t>Jul</t>
  </si>
  <si>
    <t>Aug</t>
  </si>
  <si>
    <t>Sep</t>
  </si>
  <si>
    <t>Oct</t>
  </si>
  <si>
    <t>Nov</t>
  </si>
  <si>
    <t>Dec</t>
  </si>
  <si>
    <t>TAMIL NADU E-COMMERCE SALES DASHBOARD</t>
  </si>
  <si>
    <t>Sales Performance | Customer Insights | Order Analytics</t>
  </si>
  <si>
    <t>TOTAL SALES</t>
  </si>
  <si>
    <t>Total Sales</t>
  </si>
  <si>
    <t>TOTAL ORDERS</t>
  </si>
  <si>
    <t>Total Orders</t>
  </si>
  <si>
    <t>TOTAL QUANTITY</t>
  </si>
  <si>
    <t>Total Quantity</t>
  </si>
  <si>
    <t>AVERAGE RATING</t>
  </si>
  <si>
    <t>AVERAGE DELIVERY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</si>
</sst>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quot;₹&quot;\ * #,##0_ ;_ &quot;₹&quot;\ * \-#,##0_ ;_ &quot;₹&quot;\ * &quot;-&quot;??_ ;_ @_ "/>
  </numFmts>
  <fonts count="7" x14ac:knownFonts="1">
    <font>
      <sz val="11"/>
      <color theme="1"/>
      <name val="Calibri"/>
      <family val="2"/>
      <scheme val="minor"/>
    </font>
    <font>
      <b/>
      <sz val="11"/>
      <name val="Calibri"/>
    </font>
    <font>
      <b/>
      <sz val="11"/>
      <name val="Calibri"/>
      <family val="2"/>
    </font>
    <font>
      <b/>
      <sz val="22"/>
      <color theme="1"/>
      <name val="Calibri"/>
      <family val="2"/>
      <scheme val="minor"/>
    </font>
    <font>
      <b/>
      <sz val="14"/>
      <color theme="1"/>
      <name val="Calibri"/>
      <family val="2"/>
      <scheme val="minor"/>
    </font>
    <font>
      <b/>
      <sz val="16"/>
      <color theme="1"/>
      <name val="Calibri"/>
      <family val="2"/>
      <scheme val="minor"/>
    </font>
    <font>
      <sz val="14"/>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theme="7" tint="0.39997558519241921"/>
        <bgColor indexed="64"/>
      </patternFill>
    </fill>
    <fill>
      <patternFill patternType="solid">
        <fgColor theme="7" tint="0.79998168889431442"/>
        <bgColor indexed="64"/>
      </patternFill>
    </fill>
  </fills>
  <borders count="1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36">
    <xf numFmtId="0" fontId="0" fillId="0" borderId="0" xfId="0"/>
    <xf numFmtId="0" fontId="0" fillId="0" borderId="1" xfId="0" applyBorder="1"/>
    <xf numFmtId="0" fontId="0" fillId="0" borderId="2" xfId="0" applyBorder="1"/>
    <xf numFmtId="0" fontId="1" fillId="2" borderId="4" xfId="0" applyFont="1" applyFill="1" applyBorder="1" applyAlignment="1">
      <alignment horizontal="center" vertical="top"/>
    </xf>
    <xf numFmtId="0" fontId="1" fillId="2" borderId="5" xfId="0" applyFont="1" applyFill="1" applyBorder="1" applyAlignment="1">
      <alignment horizontal="center" vertical="top"/>
    </xf>
    <xf numFmtId="0" fontId="0" fillId="0" borderId="7" xfId="0" applyBorder="1"/>
    <xf numFmtId="0" fontId="0" fillId="0" borderId="8" xfId="0" applyBorder="1"/>
    <xf numFmtId="14" fontId="1" fillId="2" borderId="5" xfId="0" applyNumberFormat="1" applyFont="1" applyFill="1" applyBorder="1" applyAlignment="1">
      <alignment horizontal="center" vertical="top"/>
    </xf>
    <xf numFmtId="14" fontId="0" fillId="0" borderId="1" xfId="0" applyNumberFormat="1" applyBorder="1"/>
    <xf numFmtId="14" fontId="0" fillId="0" borderId="8" xfId="0" applyNumberFormat="1" applyBorder="1"/>
    <xf numFmtId="2" fontId="1" fillId="2" borderId="5" xfId="0" applyNumberFormat="1" applyFont="1" applyFill="1" applyBorder="1" applyAlignment="1">
      <alignment horizontal="center" vertical="top"/>
    </xf>
    <xf numFmtId="2" fontId="0" fillId="0" borderId="1" xfId="0" applyNumberFormat="1" applyBorder="1"/>
    <xf numFmtId="2" fontId="0" fillId="0" borderId="8" xfId="0" applyNumberFormat="1" applyBorder="1"/>
    <xf numFmtId="1" fontId="1" fillId="2" borderId="5" xfId="0" applyNumberFormat="1" applyFont="1" applyFill="1" applyBorder="1" applyAlignment="1">
      <alignment horizontal="center" vertical="top"/>
    </xf>
    <xf numFmtId="1" fontId="0" fillId="0" borderId="1" xfId="0" applyNumberFormat="1" applyBorder="1"/>
    <xf numFmtId="1" fontId="0" fillId="0" borderId="8" xfId="0" applyNumberFormat="1" applyBorder="1"/>
    <xf numFmtId="9" fontId="0" fillId="0" borderId="1" xfId="0" applyNumberFormat="1" applyBorder="1"/>
    <xf numFmtId="2" fontId="1" fillId="2" borderId="6" xfId="0" applyNumberFormat="1" applyFont="1" applyFill="1" applyBorder="1" applyAlignment="1">
      <alignment horizontal="center" vertical="top"/>
    </xf>
    <xf numFmtId="2" fontId="0" fillId="0" borderId="3" xfId="0" applyNumberFormat="1" applyBorder="1"/>
    <xf numFmtId="2" fontId="0" fillId="0" borderId="9" xfId="0" applyNumberFormat="1" applyBorder="1"/>
    <xf numFmtId="0" fontId="2" fillId="2" borderId="5" xfId="0" applyFont="1" applyFill="1" applyBorder="1" applyAlignment="1">
      <alignment horizontal="center" vertical="top"/>
    </xf>
    <xf numFmtId="10" fontId="2" fillId="2" borderId="5" xfId="0" applyNumberFormat="1" applyFont="1" applyFill="1" applyBorder="1" applyAlignment="1">
      <alignment horizontal="center" vertical="top"/>
    </xf>
    <xf numFmtId="1" fontId="0" fillId="0" borderId="0" xfId="0" applyNumberFormat="1"/>
    <xf numFmtId="0" fontId="0" fillId="0" borderId="0" xfId="0" pivotButton="1"/>
    <xf numFmtId="0" fontId="0" fillId="0" borderId="0" xfId="0" applyAlignment="1">
      <alignment horizontal="left"/>
    </xf>
    <xf numFmtId="0" fontId="0" fillId="3" borderId="0" xfId="0" applyFill="1"/>
    <xf numFmtId="2" fontId="4" fillId="3" borderId="0" xfId="0" applyNumberFormat="1" applyFont="1" applyFill="1" applyAlignment="1">
      <alignment horizontal="center" vertical="center"/>
    </xf>
    <xf numFmtId="0" fontId="5" fillId="3" borderId="0" xfId="0" applyFont="1" applyFill="1" applyAlignment="1">
      <alignment horizontal="center"/>
    </xf>
    <xf numFmtId="0" fontId="3" fillId="4" borderId="0" xfId="0" applyFont="1" applyFill="1" applyAlignment="1">
      <alignment horizontal="center" vertical="center"/>
    </xf>
    <xf numFmtId="164" fontId="4" fillId="3" borderId="0" xfId="0" applyNumberFormat="1" applyFont="1" applyFill="1" applyAlignment="1">
      <alignment horizontal="center" vertical="center"/>
    </xf>
    <xf numFmtId="0" fontId="4" fillId="3" borderId="0" xfId="0" applyFont="1" applyFill="1" applyAlignment="1">
      <alignment horizontal="center" vertical="center"/>
    </xf>
    <xf numFmtId="0" fontId="0" fillId="0" borderId="0" xfId="0" applyNumberFormat="1"/>
    <xf numFmtId="1" fontId="4" fillId="3" borderId="0" xfId="0" applyNumberFormat="1" applyFont="1" applyFill="1" applyAlignment="1">
      <alignment horizontal="center" vertical="center"/>
    </xf>
    <xf numFmtId="0" fontId="4" fillId="5" borderId="0" xfId="0" applyFont="1" applyFill="1" applyAlignment="1">
      <alignment horizontal="center" vertical="center"/>
    </xf>
    <xf numFmtId="0" fontId="6" fillId="3" borderId="0" xfId="0" applyFont="1" applyFill="1"/>
    <xf numFmtId="0" fontId="0" fillId="5" borderId="0" xfId="0" applyFill="1"/>
  </cellXfs>
  <cellStyles count="1">
    <cellStyle name="Normal" xfId="0" builtinId="0"/>
  </cellStyles>
  <dxfs count="27">
    <dxf>
      <numFmt numFmtId="2" formatCode="0.00"/>
      <border diagonalUp="0" diagonalDown="0" outline="0">
        <left style="thin">
          <color auto="1"/>
        </left>
        <right/>
        <top style="thin">
          <color auto="1"/>
        </top>
        <bottom style="thin">
          <color auto="1"/>
        </bottom>
      </border>
    </dxf>
    <dxf>
      <numFmt numFmtId="2" formatCode="0.00"/>
      <border diagonalUp="0" diagonalDown="0" outline="0">
        <left style="thin">
          <color auto="1"/>
        </left>
        <right style="thin">
          <color auto="1"/>
        </right>
        <top style="thin">
          <color auto="1"/>
        </top>
        <bottom style="thin">
          <color auto="1"/>
        </bottom>
      </border>
    </dxf>
    <dxf>
      <border diagonalUp="0" diagonalDown="0" outline="0">
        <left style="thin">
          <color auto="1"/>
        </left>
        <right style="thin">
          <color auto="1"/>
        </right>
        <top style="thin">
          <color auto="1"/>
        </top>
        <bottom style="thin">
          <color auto="1"/>
        </bottom>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outline="0">
        <left style="thin">
          <color auto="1"/>
        </left>
        <right style="thin">
          <color auto="1"/>
        </right>
        <top style="thin">
          <color auto="1"/>
        </top>
        <bottom style="thin">
          <color auto="1"/>
        </bottom>
      </border>
    </dxf>
    <dxf>
      <numFmt numFmtId="0" formatCode="General"/>
      <border diagonalUp="0" diagonalDown="0">
        <left style="thin">
          <color auto="1"/>
        </left>
        <right style="thin">
          <color auto="1"/>
        </right>
        <top style="thin">
          <color auto="1"/>
        </top>
        <bottom style="thin">
          <color auto="1"/>
        </bottom>
        <vertical/>
        <horizontal/>
      </border>
    </dxf>
    <dxf>
      <numFmt numFmtId="0" formatCode="General"/>
      <border diagonalUp="0" diagonalDown="0" outline="0">
        <left style="thin">
          <color auto="1"/>
        </left>
        <right style="thin">
          <color auto="1"/>
        </right>
        <top style="thin">
          <color auto="1"/>
        </top>
        <bottom style="thin">
          <color auto="1"/>
        </bottom>
      </border>
    </dxf>
    <dxf>
      <border diagonalUp="0" diagonalDown="0" outline="0">
        <left style="thin">
          <color auto="1"/>
        </left>
        <right style="thin">
          <color auto="1"/>
        </right>
        <top style="thin">
          <color auto="1"/>
        </top>
        <bottom style="thin">
          <color auto="1"/>
        </bottom>
      </border>
    </dxf>
    <dxf>
      <numFmt numFmtId="1" formatCode="0"/>
      <border diagonalUp="0" diagonalDown="0" outline="0">
        <left style="thin">
          <color auto="1"/>
        </left>
        <right style="thin">
          <color auto="1"/>
        </right>
        <top style="thin">
          <color auto="1"/>
        </top>
        <bottom style="thin">
          <color auto="1"/>
        </bottom>
      </border>
    </dxf>
    <dxf>
      <border diagonalUp="0" diagonalDown="0" outline="0">
        <left style="thin">
          <color auto="1"/>
        </left>
        <right style="thin">
          <color auto="1"/>
        </right>
        <top style="thin">
          <color auto="1"/>
        </top>
        <bottom style="thin">
          <color auto="1"/>
        </bottom>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outline="0">
        <left style="thin">
          <color auto="1"/>
        </left>
        <right style="thin">
          <color auto="1"/>
        </right>
        <top style="thin">
          <color auto="1"/>
        </top>
        <bottom style="thin">
          <color auto="1"/>
        </bottom>
      </border>
    </dxf>
    <dxf>
      <numFmt numFmtId="19" formatCode="dd/mm/yyyy"/>
      <border diagonalUp="0" diagonalDown="0" outline="0">
        <left style="thin">
          <color auto="1"/>
        </left>
        <right style="thin">
          <color auto="1"/>
        </right>
        <top style="thin">
          <color auto="1"/>
        </top>
        <bottom style="thin">
          <color auto="1"/>
        </bottom>
      </border>
    </dxf>
    <dxf>
      <border diagonalUp="0" diagonalDown="0" outline="0">
        <left style="thin">
          <color auto="1"/>
        </left>
        <right style="thin">
          <color auto="1"/>
        </right>
        <top style="thin">
          <color auto="1"/>
        </top>
        <bottom style="thin">
          <color auto="1"/>
        </bottom>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auto="1"/>
        <name val="Calibri"/>
        <scheme val="none"/>
      </font>
      <fill>
        <patternFill patternType="solid">
          <fgColor indexed="64"/>
          <bgColor rgb="FFFFFF00"/>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[TamilNadu_Ecommerce_500_Rows.xlsx]ORDER STATUS!PivotTable1</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Order Status Distribution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19478363877081736"/>
          <c:y val="0.16519948519948521"/>
          <c:w val="0.44589970501474924"/>
          <c:h val="0.77817245817245817"/>
        </c:manualLayout>
      </c:layout>
      <c:doughnutChart>
        <c:varyColors val="1"/>
        <c:ser>
          <c:idx val="0"/>
          <c:order val="0"/>
          <c:tx>
            <c:strRef>
              <c:f>'ORDER STATUS'!$C$2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0AE-4DDD-9F54-60DA634CD39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0AE-4DDD-9F54-60DA634CD39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0AE-4DDD-9F54-60DA634CD39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0AE-4DDD-9F54-60DA634CD39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0AE-4DDD-9F54-60DA634CD391}"/>
              </c:ext>
            </c:extLst>
          </c:dPt>
          <c:cat>
            <c:strRef>
              <c:f>'ORDER STATUS'!$B$3:$B$7</c:f>
              <c:strCache>
                <c:ptCount val="5"/>
                <c:pt idx="0">
                  <c:v>Cancelled</c:v>
                </c:pt>
                <c:pt idx="1">
                  <c:v>Delivered</c:v>
                </c:pt>
                <c:pt idx="2">
                  <c:v>Processing</c:v>
                </c:pt>
                <c:pt idx="3">
                  <c:v>Returned</c:v>
                </c:pt>
                <c:pt idx="4">
                  <c:v>Shipped</c:v>
                </c:pt>
              </c:strCache>
            </c:strRef>
          </c:cat>
          <c:val>
            <c:numRef>
              <c:f>'ORDER STATUS'!$C$3:$C$7</c:f>
              <c:numCache>
                <c:formatCode>General</c:formatCode>
                <c:ptCount val="5"/>
                <c:pt idx="0">
                  <c:v>25</c:v>
                </c:pt>
                <c:pt idx="1">
                  <c:v>322</c:v>
                </c:pt>
                <c:pt idx="2">
                  <c:v>40</c:v>
                </c:pt>
                <c:pt idx="3">
                  <c:v>32</c:v>
                </c:pt>
                <c:pt idx="4">
                  <c:v>81</c:v>
                </c:pt>
              </c:numCache>
            </c:numRef>
          </c:val>
          <c:extLst>
            <c:ext xmlns:c16="http://schemas.microsoft.com/office/drawing/2014/chart" uri="{C3380CC4-5D6E-409C-BE32-E72D297353CC}">
              <c16:uniqueId val="{0000000C-7C51-4C11-8A1B-53C79AD4746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80525686977299882"/>
          <c:y val="0.44561789123260476"/>
          <c:w val="0.19474320760249486"/>
          <c:h val="0.434712056051676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[TamilNadu_Ecommerce_500_Rows.xlsx]SALES BY DISTRICT!PivotTable5</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Sales by District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DISTRICT'!$C$2</c:f>
              <c:strCache>
                <c:ptCount val="1"/>
                <c:pt idx="0">
                  <c:v>Total</c:v>
                </c:pt>
              </c:strCache>
            </c:strRef>
          </c:tx>
          <c:spPr>
            <a:solidFill>
              <a:schemeClr val="accent4">
                <a:lumMod val="75000"/>
              </a:schemeClr>
            </a:solidFill>
            <a:ln>
              <a:noFill/>
            </a:ln>
            <a:effectLst/>
          </c:spPr>
          <c:invertIfNegative val="0"/>
          <c:cat>
            <c:strRef>
              <c:f>'SALES BY DISTRICT'!$B$3:$B$17</c:f>
              <c:strCache>
                <c:ptCount val="15"/>
                <c:pt idx="0">
                  <c:v>Thoothukudi</c:v>
                </c:pt>
                <c:pt idx="1">
                  <c:v>Thanjavur</c:v>
                </c:pt>
                <c:pt idx="2">
                  <c:v>Erode</c:v>
                </c:pt>
                <c:pt idx="3">
                  <c:v>Coimbatore</c:v>
                </c:pt>
                <c:pt idx="4">
                  <c:v>Karur</c:v>
                </c:pt>
                <c:pt idx="5">
                  <c:v>Madurai</c:v>
                </c:pt>
                <c:pt idx="6">
                  <c:v>Krishnagiri</c:v>
                </c:pt>
                <c:pt idx="7">
                  <c:v>Chennai</c:v>
                </c:pt>
                <c:pt idx="8">
                  <c:v>Vellore</c:v>
                </c:pt>
                <c:pt idx="9">
                  <c:v>Dindigul</c:v>
                </c:pt>
                <c:pt idx="10">
                  <c:v>Salem</c:v>
                </c:pt>
                <c:pt idx="11">
                  <c:v>Kanyakumari</c:v>
                </c:pt>
                <c:pt idx="12">
                  <c:v>Tirunelveli</c:v>
                </c:pt>
                <c:pt idx="13">
                  <c:v>Kanchipuram</c:v>
                </c:pt>
                <c:pt idx="14">
                  <c:v>Tiruchirappalli</c:v>
                </c:pt>
              </c:strCache>
            </c:strRef>
          </c:cat>
          <c:val>
            <c:numRef>
              <c:f>'SALES BY DISTRICT'!$C$3:$C$17</c:f>
              <c:numCache>
                <c:formatCode>General</c:formatCode>
                <c:ptCount val="15"/>
                <c:pt idx="0">
                  <c:v>524669.44999999995</c:v>
                </c:pt>
                <c:pt idx="1">
                  <c:v>563004.4</c:v>
                </c:pt>
                <c:pt idx="2">
                  <c:v>586757.04999999993</c:v>
                </c:pt>
                <c:pt idx="3">
                  <c:v>665104.4</c:v>
                </c:pt>
                <c:pt idx="4">
                  <c:v>685587.4</c:v>
                </c:pt>
                <c:pt idx="5">
                  <c:v>750639.04999999993</c:v>
                </c:pt>
                <c:pt idx="6">
                  <c:v>783924.05</c:v>
                </c:pt>
                <c:pt idx="7">
                  <c:v>787029.5</c:v>
                </c:pt>
                <c:pt idx="8">
                  <c:v>793705.04999999993</c:v>
                </c:pt>
                <c:pt idx="9">
                  <c:v>851169.14999999979</c:v>
                </c:pt>
                <c:pt idx="10">
                  <c:v>889477.15000000014</c:v>
                </c:pt>
                <c:pt idx="11">
                  <c:v>905518.74999999988</c:v>
                </c:pt>
                <c:pt idx="12">
                  <c:v>934927.95000000007</c:v>
                </c:pt>
                <c:pt idx="13">
                  <c:v>1075077.8999999999</c:v>
                </c:pt>
                <c:pt idx="14">
                  <c:v>1109699.5999999996</c:v>
                </c:pt>
              </c:numCache>
            </c:numRef>
          </c:val>
          <c:extLst>
            <c:ext xmlns:c16="http://schemas.microsoft.com/office/drawing/2014/chart" uri="{C3380CC4-5D6E-409C-BE32-E72D297353CC}">
              <c16:uniqueId val="{00000002-7C5A-4E63-8BFD-CBB3CDBFFF83}"/>
            </c:ext>
          </c:extLst>
        </c:ser>
        <c:dLbls>
          <c:showLegendKey val="0"/>
          <c:showVal val="0"/>
          <c:showCatName val="0"/>
          <c:showSerName val="0"/>
          <c:showPercent val="0"/>
          <c:showBubbleSize val="0"/>
        </c:dLbls>
        <c:gapWidth val="182"/>
        <c:axId val="1445978192"/>
        <c:axId val="1340876528"/>
      </c:barChart>
      <c:catAx>
        <c:axId val="1445978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876528"/>
        <c:crosses val="autoZero"/>
        <c:auto val="1"/>
        <c:lblAlgn val="ctr"/>
        <c:lblOffset val="100"/>
        <c:noMultiLvlLbl val="0"/>
      </c:catAx>
      <c:valAx>
        <c:axId val="13408765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978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lgDash"/>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[TamilNadu_Ecommerce_500_Rows.xlsx]SALES BY CATEGORY!PivotTable6</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Sales by Category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53074767309012"/>
          <c:y val="0.16994272623138604"/>
          <c:w val="0.71969779059901884"/>
          <c:h val="0.67343272812547916"/>
        </c:manualLayout>
      </c:layout>
      <c:barChart>
        <c:barDir val="col"/>
        <c:grouping val="clustered"/>
        <c:varyColors val="0"/>
        <c:ser>
          <c:idx val="0"/>
          <c:order val="0"/>
          <c:tx>
            <c:strRef>
              <c:f>'SALES BY CATEGORY'!$C$2</c:f>
              <c:strCache>
                <c:ptCount val="1"/>
                <c:pt idx="0">
                  <c:v>Total</c:v>
                </c:pt>
              </c:strCache>
            </c:strRef>
          </c:tx>
          <c:spPr>
            <a:solidFill>
              <a:schemeClr val="accent4">
                <a:lumMod val="75000"/>
              </a:schemeClr>
            </a:solidFill>
            <a:ln>
              <a:noFill/>
            </a:ln>
            <a:effectLst/>
          </c:spPr>
          <c:invertIfNegative val="0"/>
          <c:cat>
            <c:strRef>
              <c:f>'SALES BY CATEGORY'!$B$3:$B$8</c:f>
              <c:strCache>
                <c:ptCount val="6"/>
                <c:pt idx="0">
                  <c:v>Beauty</c:v>
                </c:pt>
                <c:pt idx="1">
                  <c:v>Electronics</c:v>
                </c:pt>
                <c:pt idx="2">
                  <c:v>Fashion</c:v>
                </c:pt>
                <c:pt idx="3">
                  <c:v>Grocery</c:v>
                </c:pt>
                <c:pt idx="4">
                  <c:v>Home &amp; Kitchen</c:v>
                </c:pt>
                <c:pt idx="5">
                  <c:v>Sports</c:v>
                </c:pt>
              </c:strCache>
            </c:strRef>
          </c:cat>
          <c:val>
            <c:numRef>
              <c:f>'SALES BY CATEGORY'!$C$3:$C$8</c:f>
              <c:numCache>
                <c:formatCode>General</c:formatCode>
                <c:ptCount val="6"/>
                <c:pt idx="0">
                  <c:v>561426.65</c:v>
                </c:pt>
                <c:pt idx="1">
                  <c:v>8377695.0999999996</c:v>
                </c:pt>
                <c:pt idx="2">
                  <c:v>714690.45</c:v>
                </c:pt>
                <c:pt idx="3">
                  <c:v>292016.39999999997</c:v>
                </c:pt>
                <c:pt idx="4">
                  <c:v>889499.14999999967</c:v>
                </c:pt>
                <c:pt idx="5">
                  <c:v>1070963.0999999999</c:v>
                </c:pt>
              </c:numCache>
            </c:numRef>
          </c:val>
          <c:extLst>
            <c:ext xmlns:c16="http://schemas.microsoft.com/office/drawing/2014/chart" uri="{C3380CC4-5D6E-409C-BE32-E72D297353CC}">
              <c16:uniqueId val="{00000002-0F2F-4D21-9478-74653A832CD6}"/>
            </c:ext>
          </c:extLst>
        </c:ser>
        <c:dLbls>
          <c:showLegendKey val="0"/>
          <c:showVal val="0"/>
          <c:showCatName val="0"/>
          <c:showSerName val="0"/>
          <c:showPercent val="0"/>
          <c:showBubbleSize val="0"/>
        </c:dLbls>
        <c:gapWidth val="219"/>
        <c:overlap val="-27"/>
        <c:axId val="1459104560"/>
        <c:axId val="1340871248"/>
      </c:barChart>
      <c:catAx>
        <c:axId val="1459104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871248"/>
        <c:crosses val="autoZero"/>
        <c:auto val="1"/>
        <c:lblAlgn val="ctr"/>
        <c:lblOffset val="100"/>
        <c:noMultiLvlLbl val="0"/>
      </c:catAx>
      <c:valAx>
        <c:axId val="1340871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104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[TamilNadu_Ecommerce_500_Rows.xlsx]PAYMENT METHOD!PivotTable3</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Orders by Payment Method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'PAYMENT METHOD'!$C$2</c:f>
              <c:strCache>
                <c:ptCount val="1"/>
                <c:pt idx="0">
                  <c:v>Total</c:v>
                </c:pt>
              </c:strCache>
            </c:strRef>
          </c:tx>
          <c:spPr>
            <a:solidFill>
              <a:schemeClr val="accent4">
                <a:lumMod val="75000"/>
              </a:schemeClr>
            </a:solidFill>
            <a:ln>
              <a:noFill/>
            </a:ln>
            <a:effectLst/>
          </c:spPr>
          <c:invertIfNegative val="0"/>
          <c:cat>
            <c:strRef>
              <c:f>'PAYMENT METHOD'!$B$3:$B$8</c:f>
              <c:strCache>
                <c:ptCount val="6"/>
                <c:pt idx="0">
                  <c:v>Cash on Delivery</c:v>
                </c:pt>
                <c:pt idx="1">
                  <c:v>Credit Card</c:v>
                </c:pt>
                <c:pt idx="2">
                  <c:v>Debit Card</c:v>
                </c:pt>
                <c:pt idx="3">
                  <c:v>Net Banking</c:v>
                </c:pt>
                <c:pt idx="4">
                  <c:v>UPI</c:v>
                </c:pt>
                <c:pt idx="5">
                  <c:v>Wallet</c:v>
                </c:pt>
              </c:strCache>
            </c:strRef>
          </c:cat>
          <c:val>
            <c:numRef>
              <c:f>'PAYMENT METHOD'!$C$3:$C$8</c:f>
              <c:numCache>
                <c:formatCode>General</c:formatCode>
                <c:ptCount val="6"/>
                <c:pt idx="0">
                  <c:v>87</c:v>
                </c:pt>
                <c:pt idx="1">
                  <c:v>77</c:v>
                </c:pt>
                <c:pt idx="2">
                  <c:v>80</c:v>
                </c:pt>
                <c:pt idx="3">
                  <c:v>72</c:v>
                </c:pt>
                <c:pt idx="4">
                  <c:v>100</c:v>
                </c:pt>
                <c:pt idx="5">
                  <c:v>84</c:v>
                </c:pt>
              </c:numCache>
            </c:numRef>
          </c:val>
          <c:extLst>
            <c:ext xmlns:c16="http://schemas.microsoft.com/office/drawing/2014/chart" uri="{C3380CC4-5D6E-409C-BE32-E72D297353CC}">
              <c16:uniqueId val="{00000003-F7D2-4C05-939E-B29522327E0E}"/>
            </c:ext>
          </c:extLst>
        </c:ser>
        <c:dLbls>
          <c:showLegendKey val="0"/>
          <c:showVal val="0"/>
          <c:showCatName val="0"/>
          <c:showSerName val="0"/>
          <c:showPercent val="0"/>
          <c:showBubbleSize val="0"/>
        </c:dLbls>
        <c:gapWidth val="219"/>
        <c:overlap val="-27"/>
        <c:axId val="1447427584"/>
        <c:axId val="1250651824"/>
      </c:barChart>
      <c:catAx>
        <c:axId val="144742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651824"/>
        <c:crosses val="autoZero"/>
        <c:auto val="1"/>
        <c:lblAlgn val="ctr"/>
        <c:lblOffset val="100"/>
        <c:noMultiLvlLbl val="0"/>
      </c:catAx>
      <c:valAx>
        <c:axId val="1250651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427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[TamilNadu_Ecommerce_500_Rows.xlsx]SALES CHANNEL!PivotTable4</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Sales by Channel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CHANNEL'!$C$2</c:f>
              <c:strCache>
                <c:ptCount val="1"/>
                <c:pt idx="0">
                  <c:v>Total</c:v>
                </c:pt>
              </c:strCache>
            </c:strRef>
          </c:tx>
          <c:spPr>
            <a:solidFill>
              <a:schemeClr val="accent4">
                <a:lumMod val="75000"/>
              </a:schemeClr>
            </a:solidFill>
            <a:ln>
              <a:noFill/>
            </a:ln>
            <a:effectLst/>
          </c:spPr>
          <c:invertIfNegative val="0"/>
          <c:cat>
            <c:strRef>
              <c:f>'SALES CHANNEL'!$B$3:$B$5</c:f>
              <c:strCache>
                <c:ptCount val="3"/>
                <c:pt idx="0">
                  <c:v>Marketplace</c:v>
                </c:pt>
                <c:pt idx="1">
                  <c:v>Mobile App</c:v>
                </c:pt>
                <c:pt idx="2">
                  <c:v>Website</c:v>
                </c:pt>
              </c:strCache>
            </c:strRef>
          </c:cat>
          <c:val>
            <c:numRef>
              <c:f>'SALES CHANNEL'!$C$3:$C$5</c:f>
              <c:numCache>
                <c:formatCode>General</c:formatCode>
                <c:ptCount val="3"/>
                <c:pt idx="0">
                  <c:v>3883322.4</c:v>
                </c:pt>
                <c:pt idx="1">
                  <c:v>4864974.1000000015</c:v>
                </c:pt>
                <c:pt idx="2">
                  <c:v>3157994.3500000015</c:v>
                </c:pt>
              </c:numCache>
            </c:numRef>
          </c:val>
          <c:extLst>
            <c:ext xmlns:c16="http://schemas.microsoft.com/office/drawing/2014/chart" uri="{C3380CC4-5D6E-409C-BE32-E72D297353CC}">
              <c16:uniqueId val="{00000000-8F44-45DB-B5A2-E6922154F3F0}"/>
            </c:ext>
          </c:extLst>
        </c:ser>
        <c:dLbls>
          <c:showLegendKey val="0"/>
          <c:showVal val="0"/>
          <c:showCatName val="0"/>
          <c:showSerName val="0"/>
          <c:showPercent val="0"/>
          <c:showBubbleSize val="0"/>
        </c:dLbls>
        <c:gapWidth val="219"/>
        <c:overlap val="-27"/>
        <c:axId val="1454637856"/>
        <c:axId val="1250620624"/>
      </c:barChart>
      <c:catAx>
        <c:axId val="1454637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620624"/>
        <c:crosses val="autoZero"/>
        <c:auto val="1"/>
        <c:lblAlgn val="ctr"/>
        <c:lblOffset val="100"/>
        <c:noMultiLvlLbl val="0"/>
      </c:catAx>
      <c:valAx>
        <c:axId val="1250620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637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[TamilNadu_Ecommerce_500_Rows.xlsx]TOP PRODUCTS!PivotTable5</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Top 10 Products by Sales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PRODUCTS'!$C$2</c:f>
              <c:strCache>
                <c:ptCount val="1"/>
                <c:pt idx="0">
                  <c:v>Total</c:v>
                </c:pt>
              </c:strCache>
            </c:strRef>
          </c:tx>
          <c:spPr>
            <a:solidFill>
              <a:schemeClr val="accent4">
                <a:lumMod val="75000"/>
              </a:schemeClr>
            </a:solidFill>
            <a:ln>
              <a:noFill/>
            </a:ln>
            <a:effectLst/>
          </c:spPr>
          <c:invertIfNegative val="0"/>
          <c:cat>
            <c:strRef>
              <c:f>'TOP PRODUCTS'!$B$3:$B$12</c:f>
              <c:strCache>
                <c:ptCount val="10"/>
                <c:pt idx="0">
                  <c:v>Smartphone</c:v>
                </c:pt>
                <c:pt idx="1">
                  <c:v>Laptop</c:v>
                </c:pt>
                <c:pt idx="2">
                  <c:v>Headphones</c:v>
                </c:pt>
                <c:pt idx="3">
                  <c:v>Smartwatch</c:v>
                </c:pt>
                <c:pt idx="4">
                  <c:v>Power Bank</c:v>
                </c:pt>
                <c:pt idx="5">
                  <c:v>Football</c:v>
                </c:pt>
                <c:pt idx="6">
                  <c:v>Badminton Racket</c:v>
                </c:pt>
                <c:pt idx="7">
                  <c:v>Mixer Grinder</c:v>
                </c:pt>
                <c:pt idx="8">
                  <c:v>Cookware Set</c:v>
                </c:pt>
                <c:pt idx="9">
                  <c:v>Jeans</c:v>
                </c:pt>
              </c:strCache>
            </c:strRef>
          </c:cat>
          <c:val>
            <c:numRef>
              <c:f>'TOP PRODUCTS'!$C$3:$C$12</c:f>
              <c:numCache>
                <c:formatCode>General</c:formatCode>
                <c:ptCount val="10"/>
                <c:pt idx="0">
                  <c:v>2355279.4499999997</c:v>
                </c:pt>
                <c:pt idx="1">
                  <c:v>1852230.3500000003</c:v>
                </c:pt>
                <c:pt idx="2">
                  <c:v>1596624.5999999999</c:v>
                </c:pt>
                <c:pt idx="3">
                  <c:v>1373061.25</c:v>
                </c:pt>
                <c:pt idx="4">
                  <c:v>1200499.45</c:v>
                </c:pt>
                <c:pt idx="5">
                  <c:v>311284.95</c:v>
                </c:pt>
                <c:pt idx="6">
                  <c:v>256863.35</c:v>
                </c:pt>
                <c:pt idx="7">
                  <c:v>242258.15</c:v>
                </c:pt>
                <c:pt idx="8">
                  <c:v>238310.80000000002</c:v>
                </c:pt>
                <c:pt idx="9">
                  <c:v>202676.8</c:v>
                </c:pt>
              </c:numCache>
            </c:numRef>
          </c:val>
          <c:extLst>
            <c:ext xmlns:c16="http://schemas.microsoft.com/office/drawing/2014/chart" uri="{C3380CC4-5D6E-409C-BE32-E72D297353CC}">
              <c16:uniqueId val="{00000003-5191-4B35-846A-89F716A610D0}"/>
            </c:ext>
          </c:extLst>
        </c:ser>
        <c:dLbls>
          <c:showLegendKey val="0"/>
          <c:showVal val="0"/>
          <c:showCatName val="0"/>
          <c:showSerName val="0"/>
          <c:showPercent val="0"/>
          <c:showBubbleSize val="0"/>
        </c:dLbls>
        <c:gapWidth val="182"/>
        <c:axId val="1302545952"/>
        <c:axId val="1250591824"/>
      </c:barChart>
      <c:catAx>
        <c:axId val="1302545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591824"/>
        <c:crosses val="autoZero"/>
        <c:auto val="1"/>
        <c:lblAlgn val="ctr"/>
        <c:lblOffset val="100"/>
        <c:noMultiLvlLbl val="0"/>
      </c:catAx>
      <c:valAx>
        <c:axId val="12505918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545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[TamilNadu_Ecommerce_500_Rows.xlsx]MONTHLY SALES!PivotTable4</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Monthly Sales Trend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560879776500001E-2"/>
          <c:y val="0.12112706234830824"/>
          <c:w val="0.86316568939520855"/>
          <c:h val="0.77162841131345072"/>
        </c:manualLayout>
      </c:layout>
      <c:lineChart>
        <c:grouping val="standard"/>
        <c:varyColors val="0"/>
        <c:ser>
          <c:idx val="0"/>
          <c:order val="0"/>
          <c:tx>
            <c:strRef>
              <c:f>'MONTHLY SALES'!$C$1</c:f>
              <c:strCache>
                <c:ptCount val="1"/>
                <c:pt idx="0">
                  <c:v>Total</c:v>
                </c:pt>
              </c:strCache>
            </c:strRef>
          </c:tx>
          <c:spPr>
            <a:ln w="28575" cap="rnd">
              <a:solidFill>
                <a:schemeClr val="accent4">
                  <a:lumMod val="75000"/>
                </a:schemeClr>
              </a:solidFill>
              <a:round/>
            </a:ln>
            <a:effectLst/>
          </c:spPr>
          <c:marker>
            <c:symbol val="none"/>
          </c:marker>
          <c:cat>
            <c:strRef>
              <c:f>'MONTHLY SALES'!$B$2:$B$13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SALES'!$C$2:$C$13</c:f>
              <c:numCache>
                <c:formatCode>General</c:formatCode>
                <c:ptCount val="12"/>
                <c:pt idx="0">
                  <c:v>721624.45000000007</c:v>
                </c:pt>
                <c:pt idx="1">
                  <c:v>1053649.8</c:v>
                </c:pt>
                <c:pt idx="2">
                  <c:v>969015.79999999993</c:v>
                </c:pt>
                <c:pt idx="3">
                  <c:v>1364396.95</c:v>
                </c:pt>
                <c:pt idx="4">
                  <c:v>572779.64999999991</c:v>
                </c:pt>
                <c:pt idx="5">
                  <c:v>999373.39999999979</c:v>
                </c:pt>
                <c:pt idx="6">
                  <c:v>1005396.7</c:v>
                </c:pt>
                <c:pt idx="7">
                  <c:v>855858.49999999988</c:v>
                </c:pt>
                <c:pt idx="8">
                  <c:v>1032071.7499999999</c:v>
                </c:pt>
                <c:pt idx="9">
                  <c:v>850444.79999999993</c:v>
                </c:pt>
                <c:pt idx="10">
                  <c:v>1413337.6999999997</c:v>
                </c:pt>
                <c:pt idx="11">
                  <c:v>1068341.3499999999</c:v>
                </c:pt>
              </c:numCache>
            </c:numRef>
          </c:val>
          <c:smooth val="0"/>
          <c:extLst>
            <c:ext xmlns:c16="http://schemas.microsoft.com/office/drawing/2014/chart" uri="{C3380CC4-5D6E-409C-BE32-E72D297353CC}">
              <c16:uniqueId val="{00000002-3E8D-4141-9617-914CB9FD958D}"/>
            </c:ext>
          </c:extLst>
        </c:ser>
        <c:dLbls>
          <c:showLegendKey val="0"/>
          <c:showVal val="0"/>
          <c:showCatName val="0"/>
          <c:showSerName val="0"/>
          <c:showPercent val="0"/>
          <c:showBubbleSize val="0"/>
        </c:dLbls>
        <c:smooth val="0"/>
        <c:axId val="1573860880"/>
        <c:axId val="1340883728"/>
      </c:lineChart>
      <c:catAx>
        <c:axId val="1573860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883728"/>
        <c:crosses val="autoZero"/>
        <c:auto val="1"/>
        <c:lblAlgn val="ctr"/>
        <c:lblOffset val="100"/>
        <c:noMultiLvlLbl val="0"/>
      </c:catAx>
      <c:valAx>
        <c:axId val="1340883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860880"/>
        <c:crosses val="autoZero"/>
        <c:crossBetween val="between"/>
      </c:valAx>
      <c:spPr>
        <a:noFill/>
        <a:ln>
          <a:noFill/>
        </a:ln>
        <a:effectLst/>
      </c:spPr>
    </c:plotArea>
    <c:legend>
      <c:legendPos val="r"/>
      <c:overlay val="0"/>
      <c:spPr>
        <a:solidFill>
          <a:schemeClr val="lt1"/>
        </a:solidFill>
        <a:ln w="25400" cap="flat" cmpd="sng" algn="ctr">
          <a:solidFill>
            <a:schemeClr val="accent4"/>
          </a:solidFill>
          <a:prstDash val="solid"/>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[TamilNadu_Ecommerce_500_Rows.xlsx]MONTHLY SALES!PivotTable4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560879776500001E-2"/>
          <c:y val="0.12112706234830824"/>
          <c:w val="0.80623367206233887"/>
          <c:h val="0.74074045299132896"/>
        </c:manualLayout>
      </c:layout>
      <c:lineChart>
        <c:grouping val="standard"/>
        <c:varyColors val="0"/>
        <c:ser>
          <c:idx val="0"/>
          <c:order val="0"/>
          <c:tx>
            <c:strRef>
              <c:f>'MONTHLY SALES'!$C$1</c:f>
              <c:strCache>
                <c:ptCount val="1"/>
                <c:pt idx="0">
                  <c:v>Total</c:v>
                </c:pt>
              </c:strCache>
            </c:strRef>
          </c:tx>
          <c:spPr>
            <a:ln w="28575" cap="rnd">
              <a:solidFill>
                <a:schemeClr val="accent1"/>
              </a:solidFill>
              <a:round/>
            </a:ln>
            <a:effectLst/>
          </c:spPr>
          <c:marker>
            <c:symbol val="none"/>
          </c:marker>
          <c:cat>
            <c:strRef>
              <c:f>'MONTHLY SALES'!$B$2:$B$13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SALES'!$C$2:$C$13</c:f>
              <c:numCache>
                <c:formatCode>General</c:formatCode>
                <c:ptCount val="12"/>
                <c:pt idx="0">
                  <c:v>721624.45000000007</c:v>
                </c:pt>
                <c:pt idx="1">
                  <c:v>1053649.8</c:v>
                </c:pt>
                <c:pt idx="2">
                  <c:v>969015.79999999993</c:v>
                </c:pt>
                <c:pt idx="3">
                  <c:v>1364396.95</c:v>
                </c:pt>
                <c:pt idx="4">
                  <c:v>572779.64999999991</c:v>
                </c:pt>
                <c:pt idx="5">
                  <c:v>999373.39999999979</c:v>
                </c:pt>
                <c:pt idx="6">
                  <c:v>1005396.7</c:v>
                </c:pt>
                <c:pt idx="7">
                  <c:v>855858.49999999988</c:v>
                </c:pt>
                <c:pt idx="8">
                  <c:v>1032071.7499999999</c:v>
                </c:pt>
                <c:pt idx="9">
                  <c:v>850444.79999999993</c:v>
                </c:pt>
                <c:pt idx="10">
                  <c:v>1413337.6999999997</c:v>
                </c:pt>
                <c:pt idx="11">
                  <c:v>1068341.3499999999</c:v>
                </c:pt>
              </c:numCache>
            </c:numRef>
          </c:val>
          <c:smooth val="0"/>
          <c:extLst>
            <c:ext xmlns:c16="http://schemas.microsoft.com/office/drawing/2014/chart" uri="{C3380CC4-5D6E-409C-BE32-E72D297353CC}">
              <c16:uniqueId val="{00000001-5C49-400E-9F50-9E2F0CE7C071}"/>
            </c:ext>
          </c:extLst>
        </c:ser>
        <c:dLbls>
          <c:showLegendKey val="0"/>
          <c:showVal val="0"/>
          <c:showCatName val="0"/>
          <c:showSerName val="0"/>
          <c:showPercent val="0"/>
          <c:showBubbleSize val="0"/>
        </c:dLbls>
        <c:smooth val="0"/>
        <c:axId val="1573860880"/>
        <c:axId val="1340883728"/>
      </c:lineChart>
      <c:catAx>
        <c:axId val="1573860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883728"/>
        <c:crosses val="autoZero"/>
        <c:auto val="1"/>
        <c:lblAlgn val="ctr"/>
        <c:lblOffset val="100"/>
        <c:noMultiLvlLbl val="0"/>
      </c:catAx>
      <c:valAx>
        <c:axId val="1340883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860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[TamilNadu_Ecommerce_500_Rows.xlsx]SALES BY DISTRICT!PivotTable5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DISTRICT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DISTRICT'!$C$2</c:f>
              <c:strCache>
                <c:ptCount val="1"/>
                <c:pt idx="0">
                  <c:v>Total</c:v>
                </c:pt>
              </c:strCache>
            </c:strRef>
          </c:tx>
          <c:spPr>
            <a:solidFill>
              <a:schemeClr val="accent1"/>
            </a:solidFill>
            <a:ln>
              <a:noFill/>
            </a:ln>
            <a:effectLst/>
          </c:spPr>
          <c:invertIfNegative val="0"/>
          <c:cat>
            <c:strRef>
              <c:f>'SALES BY DISTRICT'!$B$3:$B$17</c:f>
              <c:strCache>
                <c:ptCount val="15"/>
                <c:pt idx="0">
                  <c:v>Thoothukudi</c:v>
                </c:pt>
                <c:pt idx="1">
                  <c:v>Thanjavur</c:v>
                </c:pt>
                <c:pt idx="2">
                  <c:v>Erode</c:v>
                </c:pt>
                <c:pt idx="3">
                  <c:v>Coimbatore</c:v>
                </c:pt>
                <c:pt idx="4">
                  <c:v>Karur</c:v>
                </c:pt>
                <c:pt idx="5">
                  <c:v>Madurai</c:v>
                </c:pt>
                <c:pt idx="6">
                  <c:v>Krishnagiri</c:v>
                </c:pt>
                <c:pt idx="7">
                  <c:v>Chennai</c:v>
                </c:pt>
                <c:pt idx="8">
                  <c:v>Vellore</c:v>
                </c:pt>
                <c:pt idx="9">
                  <c:v>Dindigul</c:v>
                </c:pt>
                <c:pt idx="10">
                  <c:v>Salem</c:v>
                </c:pt>
                <c:pt idx="11">
                  <c:v>Kanyakumari</c:v>
                </c:pt>
                <c:pt idx="12">
                  <c:v>Tirunelveli</c:v>
                </c:pt>
                <c:pt idx="13">
                  <c:v>Kanchipuram</c:v>
                </c:pt>
                <c:pt idx="14">
                  <c:v>Tiruchirappalli</c:v>
                </c:pt>
              </c:strCache>
            </c:strRef>
          </c:cat>
          <c:val>
            <c:numRef>
              <c:f>'SALES BY DISTRICT'!$C$3:$C$17</c:f>
              <c:numCache>
                <c:formatCode>General</c:formatCode>
                <c:ptCount val="15"/>
                <c:pt idx="0">
                  <c:v>524669.44999999995</c:v>
                </c:pt>
                <c:pt idx="1">
                  <c:v>563004.4</c:v>
                </c:pt>
                <c:pt idx="2">
                  <c:v>586757.04999999993</c:v>
                </c:pt>
                <c:pt idx="3">
                  <c:v>665104.4</c:v>
                </c:pt>
                <c:pt idx="4">
                  <c:v>685587.4</c:v>
                </c:pt>
                <c:pt idx="5">
                  <c:v>750639.04999999993</c:v>
                </c:pt>
                <c:pt idx="6">
                  <c:v>783924.05</c:v>
                </c:pt>
                <c:pt idx="7">
                  <c:v>787029.5</c:v>
                </c:pt>
                <c:pt idx="8">
                  <c:v>793705.04999999993</c:v>
                </c:pt>
                <c:pt idx="9">
                  <c:v>851169.14999999979</c:v>
                </c:pt>
                <c:pt idx="10">
                  <c:v>889477.15000000014</c:v>
                </c:pt>
                <c:pt idx="11">
                  <c:v>905518.74999999988</c:v>
                </c:pt>
                <c:pt idx="12">
                  <c:v>934927.95000000007</c:v>
                </c:pt>
                <c:pt idx="13">
                  <c:v>1075077.8999999999</c:v>
                </c:pt>
                <c:pt idx="14">
                  <c:v>1109699.5999999996</c:v>
                </c:pt>
              </c:numCache>
            </c:numRef>
          </c:val>
          <c:extLst>
            <c:ext xmlns:c16="http://schemas.microsoft.com/office/drawing/2014/chart" uri="{C3380CC4-5D6E-409C-BE32-E72D297353CC}">
              <c16:uniqueId val="{00000001-FFB2-4D8D-B66D-253990495726}"/>
            </c:ext>
          </c:extLst>
        </c:ser>
        <c:dLbls>
          <c:showLegendKey val="0"/>
          <c:showVal val="0"/>
          <c:showCatName val="0"/>
          <c:showSerName val="0"/>
          <c:showPercent val="0"/>
          <c:showBubbleSize val="0"/>
        </c:dLbls>
        <c:gapWidth val="182"/>
        <c:axId val="1445978192"/>
        <c:axId val="1340876528"/>
      </c:barChart>
      <c:catAx>
        <c:axId val="1445978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876528"/>
        <c:crosses val="autoZero"/>
        <c:auto val="1"/>
        <c:lblAlgn val="ctr"/>
        <c:lblOffset val="100"/>
        <c:noMultiLvlLbl val="0"/>
      </c:catAx>
      <c:valAx>
        <c:axId val="13408765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978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[TamilNadu_Ecommerce_500_Rows.xlsx]SALES BY CATEGORY!PivotTable6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CATEGORY'!$C$2</c:f>
              <c:strCache>
                <c:ptCount val="1"/>
                <c:pt idx="0">
                  <c:v>Total</c:v>
                </c:pt>
              </c:strCache>
            </c:strRef>
          </c:tx>
          <c:spPr>
            <a:solidFill>
              <a:schemeClr val="accent1"/>
            </a:solidFill>
            <a:ln>
              <a:noFill/>
            </a:ln>
            <a:effectLst/>
          </c:spPr>
          <c:invertIfNegative val="0"/>
          <c:cat>
            <c:strRef>
              <c:f>'SALES BY CATEGORY'!$B$3:$B$8</c:f>
              <c:strCache>
                <c:ptCount val="6"/>
                <c:pt idx="0">
                  <c:v>Beauty</c:v>
                </c:pt>
                <c:pt idx="1">
                  <c:v>Electronics</c:v>
                </c:pt>
                <c:pt idx="2">
                  <c:v>Fashion</c:v>
                </c:pt>
                <c:pt idx="3">
                  <c:v>Grocery</c:v>
                </c:pt>
                <c:pt idx="4">
                  <c:v>Home &amp; Kitchen</c:v>
                </c:pt>
                <c:pt idx="5">
                  <c:v>Sports</c:v>
                </c:pt>
              </c:strCache>
            </c:strRef>
          </c:cat>
          <c:val>
            <c:numRef>
              <c:f>'SALES BY CATEGORY'!$C$3:$C$8</c:f>
              <c:numCache>
                <c:formatCode>General</c:formatCode>
                <c:ptCount val="6"/>
                <c:pt idx="0">
                  <c:v>561426.65</c:v>
                </c:pt>
                <c:pt idx="1">
                  <c:v>8377695.0999999996</c:v>
                </c:pt>
                <c:pt idx="2">
                  <c:v>714690.45</c:v>
                </c:pt>
                <c:pt idx="3">
                  <c:v>292016.39999999997</c:v>
                </c:pt>
                <c:pt idx="4">
                  <c:v>889499.14999999967</c:v>
                </c:pt>
                <c:pt idx="5">
                  <c:v>1070963.0999999999</c:v>
                </c:pt>
              </c:numCache>
            </c:numRef>
          </c:val>
          <c:extLst>
            <c:ext xmlns:c16="http://schemas.microsoft.com/office/drawing/2014/chart" uri="{C3380CC4-5D6E-409C-BE32-E72D297353CC}">
              <c16:uniqueId val="{00000001-ECEA-452A-A8CF-1C57B9624C76}"/>
            </c:ext>
          </c:extLst>
        </c:ser>
        <c:dLbls>
          <c:showLegendKey val="0"/>
          <c:showVal val="0"/>
          <c:showCatName val="0"/>
          <c:showSerName val="0"/>
          <c:showPercent val="0"/>
          <c:showBubbleSize val="0"/>
        </c:dLbls>
        <c:gapWidth val="219"/>
        <c:overlap val="-27"/>
        <c:axId val="1459104560"/>
        <c:axId val="1340871248"/>
      </c:barChart>
      <c:catAx>
        <c:axId val="1459104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871248"/>
        <c:crosses val="autoZero"/>
        <c:auto val="1"/>
        <c:lblAlgn val="ctr"/>
        <c:lblOffset val="100"/>
        <c:noMultiLvlLbl val="0"/>
      </c:catAx>
      <c:valAx>
        <c:axId val="1340871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104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[TamilNadu_Ecommerce_500_Rows.xlsx]ORDER STATUS!PivotTable1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STATUS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'ORDER STATUS'!$C$2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DA6-4FEC-A011-5A678612A81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DA6-4FEC-A011-5A678612A81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DA6-4FEC-A011-5A678612A81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DA6-4FEC-A011-5A678612A81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DA6-4FEC-A011-5A678612A81C}"/>
              </c:ext>
            </c:extLst>
          </c:dPt>
          <c:cat>
            <c:strRef>
              <c:f>'ORDER STATUS'!$B$3:$B$7</c:f>
              <c:strCache>
                <c:ptCount val="5"/>
                <c:pt idx="0">
                  <c:v>Cancelled</c:v>
                </c:pt>
                <c:pt idx="1">
                  <c:v>Delivered</c:v>
                </c:pt>
                <c:pt idx="2">
                  <c:v>Processing</c:v>
                </c:pt>
                <c:pt idx="3">
                  <c:v>Returned</c:v>
                </c:pt>
                <c:pt idx="4">
                  <c:v>Shipped</c:v>
                </c:pt>
              </c:strCache>
            </c:strRef>
          </c:cat>
          <c:val>
            <c:numRef>
              <c:f>'ORDER STATUS'!$C$3:$C$7</c:f>
              <c:numCache>
                <c:formatCode>General</c:formatCode>
                <c:ptCount val="5"/>
                <c:pt idx="0">
                  <c:v>25</c:v>
                </c:pt>
                <c:pt idx="1">
                  <c:v>322</c:v>
                </c:pt>
                <c:pt idx="2">
                  <c:v>40</c:v>
                </c:pt>
                <c:pt idx="3">
                  <c:v>32</c:v>
                </c:pt>
                <c:pt idx="4">
                  <c:v>81</c:v>
                </c:pt>
              </c:numCache>
            </c:numRef>
          </c:val>
          <c:extLst>
            <c:ext xmlns:c16="http://schemas.microsoft.com/office/drawing/2014/chart" uri="{C3380CC4-5D6E-409C-BE32-E72D297353CC}">
              <c16:uniqueId val="{00000003-0D13-4037-BF4D-2E0D8E7D4FD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80525686977299882"/>
          <c:y val="0.44561789123260476"/>
          <c:w val="0.17801672640382321"/>
          <c:h val="0.400171156740415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[TamilNadu_Ecommerce_500_Rows.xlsx]PAYMENT METHOD!PivotTable3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'PAYMENT METHOD'!$C$2</c:f>
              <c:strCache>
                <c:ptCount val="1"/>
                <c:pt idx="0">
                  <c:v>Total</c:v>
                </c:pt>
              </c:strCache>
            </c:strRef>
          </c:tx>
          <c:spPr>
            <a:solidFill>
              <a:schemeClr val="accent1"/>
            </a:solidFill>
            <a:ln>
              <a:noFill/>
            </a:ln>
            <a:effectLst/>
          </c:spPr>
          <c:invertIfNegative val="0"/>
          <c:cat>
            <c:strRef>
              <c:f>'PAYMENT METHOD'!$B$3:$B$8</c:f>
              <c:strCache>
                <c:ptCount val="6"/>
                <c:pt idx="0">
                  <c:v>Cash on Delivery</c:v>
                </c:pt>
                <c:pt idx="1">
                  <c:v>Credit Card</c:v>
                </c:pt>
                <c:pt idx="2">
                  <c:v>Debit Card</c:v>
                </c:pt>
                <c:pt idx="3">
                  <c:v>Net Banking</c:v>
                </c:pt>
                <c:pt idx="4">
                  <c:v>UPI</c:v>
                </c:pt>
                <c:pt idx="5">
                  <c:v>Wallet</c:v>
                </c:pt>
              </c:strCache>
            </c:strRef>
          </c:cat>
          <c:val>
            <c:numRef>
              <c:f>'PAYMENT METHOD'!$C$3:$C$8</c:f>
              <c:numCache>
                <c:formatCode>General</c:formatCode>
                <c:ptCount val="6"/>
                <c:pt idx="0">
                  <c:v>87</c:v>
                </c:pt>
                <c:pt idx="1">
                  <c:v>77</c:v>
                </c:pt>
                <c:pt idx="2">
                  <c:v>80</c:v>
                </c:pt>
                <c:pt idx="3">
                  <c:v>72</c:v>
                </c:pt>
                <c:pt idx="4">
                  <c:v>100</c:v>
                </c:pt>
                <c:pt idx="5">
                  <c:v>84</c:v>
                </c:pt>
              </c:numCache>
            </c:numRef>
          </c:val>
          <c:extLst>
            <c:ext xmlns:c16="http://schemas.microsoft.com/office/drawing/2014/chart" uri="{C3380CC4-5D6E-409C-BE32-E72D297353CC}">
              <c16:uniqueId val="{00000003-3B94-45A1-9311-1939DAC30F95}"/>
            </c:ext>
          </c:extLst>
        </c:ser>
        <c:dLbls>
          <c:showLegendKey val="0"/>
          <c:showVal val="0"/>
          <c:showCatName val="0"/>
          <c:showSerName val="0"/>
          <c:showPercent val="0"/>
          <c:showBubbleSize val="0"/>
        </c:dLbls>
        <c:gapWidth val="219"/>
        <c:overlap val="-27"/>
        <c:axId val="1447427584"/>
        <c:axId val="1250651824"/>
      </c:barChart>
      <c:catAx>
        <c:axId val="144742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651824"/>
        <c:crosses val="autoZero"/>
        <c:auto val="1"/>
        <c:lblAlgn val="ctr"/>
        <c:lblOffset val="100"/>
        <c:noMultiLvlLbl val="0"/>
      </c:catAx>
      <c:valAx>
        <c:axId val="1250651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427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[TamilNadu_Ecommerce_500_Rows.xlsx]SALES CHANNEL!PivotTable4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CHANNEL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CHANNEL'!$C$2</c:f>
              <c:strCache>
                <c:ptCount val="1"/>
                <c:pt idx="0">
                  <c:v>Total</c:v>
                </c:pt>
              </c:strCache>
            </c:strRef>
          </c:tx>
          <c:spPr>
            <a:solidFill>
              <a:schemeClr val="accent1"/>
            </a:solidFill>
            <a:ln>
              <a:noFill/>
            </a:ln>
            <a:effectLst/>
          </c:spPr>
          <c:invertIfNegative val="0"/>
          <c:cat>
            <c:strRef>
              <c:f>'SALES CHANNEL'!$B$3:$B$5</c:f>
              <c:strCache>
                <c:ptCount val="3"/>
                <c:pt idx="0">
                  <c:v>Marketplace</c:v>
                </c:pt>
                <c:pt idx="1">
                  <c:v>Mobile App</c:v>
                </c:pt>
                <c:pt idx="2">
                  <c:v>Website</c:v>
                </c:pt>
              </c:strCache>
            </c:strRef>
          </c:cat>
          <c:val>
            <c:numRef>
              <c:f>'SALES CHANNEL'!$C$3:$C$5</c:f>
              <c:numCache>
                <c:formatCode>General</c:formatCode>
                <c:ptCount val="3"/>
                <c:pt idx="0">
                  <c:v>3883322.4</c:v>
                </c:pt>
                <c:pt idx="1">
                  <c:v>4864974.1000000015</c:v>
                </c:pt>
                <c:pt idx="2">
                  <c:v>3157994.3500000015</c:v>
                </c:pt>
              </c:numCache>
            </c:numRef>
          </c:val>
          <c:extLst>
            <c:ext xmlns:c16="http://schemas.microsoft.com/office/drawing/2014/chart" uri="{C3380CC4-5D6E-409C-BE32-E72D297353CC}">
              <c16:uniqueId val="{00000000-DFCC-4DAF-8DA5-E975B70623F9}"/>
            </c:ext>
          </c:extLst>
        </c:ser>
        <c:dLbls>
          <c:showLegendKey val="0"/>
          <c:showVal val="0"/>
          <c:showCatName val="0"/>
          <c:showSerName val="0"/>
          <c:showPercent val="0"/>
          <c:showBubbleSize val="0"/>
        </c:dLbls>
        <c:gapWidth val="219"/>
        <c:overlap val="-27"/>
        <c:axId val="1454637856"/>
        <c:axId val="1250620624"/>
      </c:barChart>
      <c:catAx>
        <c:axId val="1454637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620624"/>
        <c:crosses val="autoZero"/>
        <c:auto val="1"/>
        <c:lblAlgn val="ctr"/>
        <c:lblOffset val="100"/>
        <c:noMultiLvlLbl val="0"/>
      </c:catAx>
      <c:valAx>
        <c:axId val="1250620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637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[TamilNadu_Ecommerce_500_Rows.xlsx]TOP PRODUCTS!PivotTable5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PRODUCTS'!$C$2</c:f>
              <c:strCache>
                <c:ptCount val="1"/>
                <c:pt idx="0">
                  <c:v>Total</c:v>
                </c:pt>
              </c:strCache>
            </c:strRef>
          </c:tx>
          <c:spPr>
            <a:solidFill>
              <a:schemeClr val="accent1"/>
            </a:solidFill>
            <a:ln>
              <a:noFill/>
            </a:ln>
            <a:effectLst/>
          </c:spPr>
          <c:invertIfNegative val="0"/>
          <c:cat>
            <c:strRef>
              <c:f>'TOP PRODUCTS'!$B$3:$B$12</c:f>
              <c:strCache>
                <c:ptCount val="10"/>
                <c:pt idx="0">
                  <c:v>Smartphone</c:v>
                </c:pt>
                <c:pt idx="1">
                  <c:v>Laptop</c:v>
                </c:pt>
                <c:pt idx="2">
                  <c:v>Headphones</c:v>
                </c:pt>
                <c:pt idx="3">
                  <c:v>Smartwatch</c:v>
                </c:pt>
                <c:pt idx="4">
                  <c:v>Power Bank</c:v>
                </c:pt>
                <c:pt idx="5">
                  <c:v>Football</c:v>
                </c:pt>
                <c:pt idx="6">
                  <c:v>Badminton Racket</c:v>
                </c:pt>
                <c:pt idx="7">
                  <c:v>Mixer Grinder</c:v>
                </c:pt>
                <c:pt idx="8">
                  <c:v>Cookware Set</c:v>
                </c:pt>
                <c:pt idx="9">
                  <c:v>Jeans</c:v>
                </c:pt>
              </c:strCache>
            </c:strRef>
          </c:cat>
          <c:val>
            <c:numRef>
              <c:f>'TOP PRODUCTS'!$C$3:$C$12</c:f>
              <c:numCache>
                <c:formatCode>General</c:formatCode>
                <c:ptCount val="10"/>
                <c:pt idx="0">
                  <c:v>2355279.4499999997</c:v>
                </c:pt>
                <c:pt idx="1">
                  <c:v>1852230.3500000003</c:v>
                </c:pt>
                <c:pt idx="2">
                  <c:v>1596624.5999999999</c:v>
                </c:pt>
                <c:pt idx="3">
                  <c:v>1373061.25</c:v>
                </c:pt>
                <c:pt idx="4">
                  <c:v>1200499.45</c:v>
                </c:pt>
                <c:pt idx="5">
                  <c:v>311284.95</c:v>
                </c:pt>
                <c:pt idx="6">
                  <c:v>256863.35</c:v>
                </c:pt>
                <c:pt idx="7">
                  <c:v>242258.15</c:v>
                </c:pt>
                <c:pt idx="8">
                  <c:v>238310.80000000002</c:v>
                </c:pt>
                <c:pt idx="9">
                  <c:v>202676.8</c:v>
                </c:pt>
              </c:numCache>
            </c:numRef>
          </c:val>
          <c:extLst>
            <c:ext xmlns:c16="http://schemas.microsoft.com/office/drawing/2014/chart" uri="{C3380CC4-5D6E-409C-BE32-E72D297353CC}">
              <c16:uniqueId val="{00000003-BD46-4A6A-B9BE-5F2D22A2E1B9}"/>
            </c:ext>
          </c:extLst>
        </c:ser>
        <c:dLbls>
          <c:showLegendKey val="0"/>
          <c:showVal val="0"/>
          <c:showCatName val="0"/>
          <c:showSerName val="0"/>
          <c:showPercent val="0"/>
          <c:showBubbleSize val="0"/>
        </c:dLbls>
        <c:gapWidth val="182"/>
        <c:axId val="1302545952"/>
        <c:axId val="1250591824"/>
      </c:barChart>
      <c:catAx>
        <c:axId val="1302545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591824"/>
        <c:crosses val="autoZero"/>
        <c:auto val="1"/>
        <c:lblAlgn val="ctr"/>
        <c:lblOffset val="100"/>
        <c:noMultiLvlLbl val="0"/>
      </c:catAx>
      <c:valAx>
        <c:axId val="12505918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545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8</xdr:col>
      <xdr:colOff>192660</xdr:colOff>
      <xdr:row>17</xdr:row>
      <xdr:rowOff>132171</xdr:rowOff>
    </xdr:from>
    <xdr:to>
      <xdr:col>13</xdr:col>
      <xdr:colOff>569535</xdr:colOff>
      <xdr:row>31</xdr:row>
      <xdr:rowOff>39278</xdr:rowOff>
    </xdr:to>
    <xdr:graphicFrame macro="">
      <xdr:nvGraphicFramePr>
        <xdr:cNvPr id="3" name="Chart 2">
          <a:extLst>
            <a:ext uri="{FF2B5EF4-FFF2-40B4-BE49-F238E27FC236}">
              <a16:creationId xmlns:a16="http://schemas.microsoft.com/office/drawing/2014/main" id="{3BF4F29B-2954-4736-9345-48BBAEA8DD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31</xdr:row>
      <xdr:rowOff>38103</xdr:rowOff>
    </xdr:from>
    <xdr:to>
      <xdr:col>6</xdr:col>
      <xdr:colOff>422241</xdr:colOff>
      <xdr:row>44</xdr:row>
      <xdr:rowOff>81603</xdr:rowOff>
    </xdr:to>
    <xdr:graphicFrame macro="">
      <xdr:nvGraphicFramePr>
        <xdr:cNvPr id="4" name="Chart 3">
          <a:extLst>
            <a:ext uri="{FF2B5EF4-FFF2-40B4-BE49-F238E27FC236}">
              <a16:creationId xmlns:a16="http://schemas.microsoft.com/office/drawing/2014/main" id="{C63FD554-26E8-49C0-A345-8C36F20A74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451701</xdr:colOff>
      <xdr:row>31</xdr:row>
      <xdr:rowOff>76789</xdr:rowOff>
    </xdr:from>
    <xdr:to>
      <xdr:col>13</xdr:col>
      <xdr:colOff>562115</xdr:colOff>
      <xdr:row>44</xdr:row>
      <xdr:rowOff>88376</xdr:rowOff>
    </xdr:to>
    <xdr:graphicFrame macro="">
      <xdr:nvGraphicFramePr>
        <xdr:cNvPr id="5" name="Chart 4">
          <a:extLst>
            <a:ext uri="{FF2B5EF4-FFF2-40B4-BE49-F238E27FC236}">
              <a16:creationId xmlns:a16="http://schemas.microsoft.com/office/drawing/2014/main" id="{D922637A-78F9-40E2-BF18-3EDEEBECB0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579353</xdr:colOff>
      <xdr:row>31</xdr:row>
      <xdr:rowOff>77672</xdr:rowOff>
    </xdr:from>
    <xdr:to>
      <xdr:col>20</xdr:col>
      <xdr:colOff>186572</xdr:colOff>
      <xdr:row>44</xdr:row>
      <xdr:rowOff>88376</xdr:rowOff>
    </xdr:to>
    <xdr:graphicFrame macro="">
      <xdr:nvGraphicFramePr>
        <xdr:cNvPr id="9" name="Chart 8">
          <a:extLst>
            <a:ext uri="{FF2B5EF4-FFF2-40B4-BE49-F238E27FC236}">
              <a16:creationId xmlns:a16="http://schemas.microsoft.com/office/drawing/2014/main" id="{5226078C-8070-492F-9890-A149C98B7A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589176</xdr:colOff>
      <xdr:row>17</xdr:row>
      <xdr:rowOff>152991</xdr:rowOff>
    </xdr:from>
    <xdr:to>
      <xdr:col>20</xdr:col>
      <xdr:colOff>157113</xdr:colOff>
      <xdr:row>31</xdr:row>
      <xdr:rowOff>39278</xdr:rowOff>
    </xdr:to>
    <xdr:graphicFrame macro="">
      <xdr:nvGraphicFramePr>
        <xdr:cNvPr id="10" name="Chart 9">
          <a:extLst>
            <a:ext uri="{FF2B5EF4-FFF2-40B4-BE49-F238E27FC236}">
              <a16:creationId xmlns:a16="http://schemas.microsoft.com/office/drawing/2014/main" id="{2EFE5F40-6545-460A-955A-CCC0F5C309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44</xdr:row>
      <xdr:rowOff>94071</xdr:rowOff>
    </xdr:from>
    <xdr:to>
      <xdr:col>6</xdr:col>
      <xdr:colOff>422241</xdr:colOff>
      <xdr:row>57</xdr:row>
      <xdr:rowOff>137571</xdr:rowOff>
    </xdr:to>
    <xdr:graphicFrame macro="">
      <xdr:nvGraphicFramePr>
        <xdr:cNvPr id="11" name="Chart 10">
          <a:extLst>
            <a:ext uri="{FF2B5EF4-FFF2-40B4-BE49-F238E27FC236}">
              <a16:creationId xmlns:a16="http://schemas.microsoft.com/office/drawing/2014/main" id="{A5A9C098-A80B-43FC-AA7C-42E413A5B3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17</xdr:row>
      <xdr:rowOff>161924</xdr:rowOff>
    </xdr:from>
    <xdr:to>
      <xdr:col>8</xdr:col>
      <xdr:colOff>166933</xdr:colOff>
      <xdr:row>31</xdr:row>
      <xdr:rowOff>14924</xdr:rowOff>
    </xdr:to>
    <xdr:graphicFrame macro="">
      <xdr:nvGraphicFramePr>
        <xdr:cNvPr id="12" name="Chart 11">
          <a:extLst>
            <a:ext uri="{FF2B5EF4-FFF2-40B4-BE49-F238E27FC236}">
              <a16:creationId xmlns:a16="http://schemas.microsoft.com/office/drawing/2014/main" id="{D250EBBC-0790-4F71-B402-11B8DFDA4E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5</xdr:col>
      <xdr:colOff>278975</xdr:colOff>
      <xdr:row>8</xdr:row>
      <xdr:rowOff>19346</xdr:rowOff>
    </xdr:from>
    <xdr:to>
      <xdr:col>7</xdr:col>
      <xdr:colOff>426989</xdr:colOff>
      <xdr:row>17</xdr:row>
      <xdr:rowOff>143171</xdr:rowOff>
    </xdr:to>
    <mc:AlternateContent xmlns:mc="http://schemas.openxmlformats.org/markup-compatibility/2006">
      <mc:Choice xmlns:a14="http://schemas.microsoft.com/office/drawing/2010/main" Requires="a14">
        <xdr:graphicFrame macro="">
          <xdr:nvGraphicFramePr>
            <xdr:cNvPr id="13" name="District">
              <a:extLst>
                <a:ext uri="{FF2B5EF4-FFF2-40B4-BE49-F238E27FC236}">
                  <a16:creationId xmlns:a16="http://schemas.microsoft.com/office/drawing/2014/main" id="{D8001BD9-B63C-2648-876E-C3EF9452A052}"/>
                </a:ext>
              </a:extLst>
            </xdr:cNvPr>
            <xdr:cNvGraphicFramePr/>
          </xdr:nvGraphicFramePr>
          <xdr:xfrm>
            <a:off x="0" y="0"/>
            <a:ext cx="0" cy="0"/>
          </xdr:xfrm>
          <a:graphic>
            <a:graphicData uri="http://schemas.microsoft.com/office/drawing/2010/slicer">
              <sle:slicer xmlns:sle="http://schemas.microsoft.com/office/drawing/2010/slicer" name="District"/>
            </a:graphicData>
          </a:graphic>
        </xdr:graphicFrame>
      </mc:Choice>
      <mc:Fallback>
        <xdr:sp macro="" textlink="">
          <xdr:nvSpPr>
            <xdr:cNvPr id="0" name=""/>
            <xdr:cNvSpPr>
              <a:spLocks noTextEdit="1"/>
            </xdr:cNvSpPr>
          </xdr:nvSpPr>
          <xdr:spPr>
            <a:xfrm>
              <a:off x="3295225" y="1670346"/>
              <a:ext cx="1354514" cy="1838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192269</xdr:colOff>
      <xdr:row>7</xdr:row>
      <xdr:rowOff>176457</xdr:rowOff>
    </xdr:from>
    <xdr:to>
      <xdr:col>10</xdr:col>
      <xdr:colOff>341069</xdr:colOff>
      <xdr:row>17</xdr:row>
      <xdr:rowOff>108015</xdr:rowOff>
    </xdr:to>
    <mc:AlternateContent xmlns:mc="http://schemas.openxmlformats.org/markup-compatibility/2006">
      <mc:Choice xmlns:a14="http://schemas.microsoft.com/office/drawing/2010/main" Requires="a14">
        <xdr:graphicFrame macro="">
          <xdr:nvGraphicFramePr>
            <xdr:cNvPr id="14" name="Category">
              <a:extLst>
                <a:ext uri="{FF2B5EF4-FFF2-40B4-BE49-F238E27FC236}">
                  <a16:creationId xmlns:a16="http://schemas.microsoft.com/office/drawing/2014/main" id="{75BA4365-A954-264D-806F-B26EE7C7D94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018269" y="1636957"/>
              <a:ext cx="1355300" cy="18365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57151</xdr:colOff>
      <xdr:row>8</xdr:row>
      <xdr:rowOff>9524</xdr:rowOff>
    </xdr:from>
    <xdr:to>
      <xdr:col>2</xdr:col>
      <xdr:colOff>205951</xdr:colOff>
      <xdr:row>17</xdr:row>
      <xdr:rowOff>133350</xdr:rowOff>
    </xdr:to>
    <mc:AlternateContent xmlns:mc="http://schemas.openxmlformats.org/markup-compatibility/2006" xmlns:a14="http://schemas.microsoft.com/office/drawing/2010/main">
      <mc:Choice Requires="a14">
        <xdr:graphicFrame macro="">
          <xdr:nvGraphicFramePr>
            <xdr:cNvPr id="15" name="Order_Status">
              <a:extLst>
                <a:ext uri="{FF2B5EF4-FFF2-40B4-BE49-F238E27FC236}">
                  <a16:creationId xmlns:a16="http://schemas.microsoft.com/office/drawing/2014/main" id="{BF944567-1B94-B078-6CF1-A9529BBCEB67}"/>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mlns="">
        <xdr:sp macro="" textlink="">
          <xdr:nvSpPr>
            <xdr:cNvPr id="0" name=""/>
            <xdr:cNvSpPr>
              <a:spLocks noTextEdit="1"/>
            </xdr:cNvSpPr>
          </xdr:nvSpPr>
          <xdr:spPr>
            <a:xfrm>
              <a:off x="57151" y="1629756"/>
              <a:ext cx="1366429" cy="1802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38200</xdr:colOff>
      <xdr:row>7</xdr:row>
      <xdr:rowOff>176752</xdr:rowOff>
    </xdr:from>
    <xdr:to>
      <xdr:col>13</xdr:col>
      <xdr:colOff>187000</xdr:colOff>
      <xdr:row>17</xdr:row>
      <xdr:rowOff>117835</xdr:rowOff>
    </xdr:to>
    <mc:AlternateContent xmlns:mc="http://schemas.openxmlformats.org/markup-compatibility/2006">
      <mc:Choice xmlns:a14="http://schemas.microsoft.com/office/drawing/2010/main" Requires="a14">
        <xdr:graphicFrame macro="">
          <xdr:nvGraphicFramePr>
            <xdr:cNvPr id="16" name="Payment_Method">
              <a:extLst>
                <a:ext uri="{FF2B5EF4-FFF2-40B4-BE49-F238E27FC236}">
                  <a16:creationId xmlns:a16="http://schemas.microsoft.com/office/drawing/2014/main" id="{CB50CD74-558D-4D6C-2BFE-BE30663D2339}"/>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6673950" y="1637252"/>
              <a:ext cx="1355300" cy="18460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472913</xdr:colOff>
      <xdr:row>8</xdr:row>
      <xdr:rowOff>28868</xdr:rowOff>
    </xdr:from>
    <xdr:to>
      <xdr:col>4</xdr:col>
      <xdr:colOff>559718</xdr:colOff>
      <xdr:row>17</xdr:row>
      <xdr:rowOff>133645</xdr:rowOff>
    </xdr:to>
    <mc:AlternateContent xmlns:mc="http://schemas.openxmlformats.org/markup-compatibility/2006">
      <mc:Choice xmlns:a14="http://schemas.microsoft.com/office/drawing/2010/main" Requires="a14">
        <xdr:graphicFrame macro="">
          <xdr:nvGraphicFramePr>
            <xdr:cNvPr id="17" name="Sales_Channel">
              <a:extLst>
                <a:ext uri="{FF2B5EF4-FFF2-40B4-BE49-F238E27FC236}">
                  <a16:creationId xmlns:a16="http://schemas.microsoft.com/office/drawing/2014/main" id="{71860246-72D9-0129-11BB-8007C8F9E285}"/>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dr:sp macro="" textlink="">
          <xdr:nvSpPr>
            <xdr:cNvPr id="0" name=""/>
            <xdr:cNvSpPr>
              <a:spLocks noTextEdit="1"/>
            </xdr:cNvSpPr>
          </xdr:nvSpPr>
          <xdr:spPr>
            <a:xfrm>
              <a:off x="1679413" y="1679868"/>
              <a:ext cx="1293305" cy="18192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520439</xdr:colOff>
      <xdr:row>7</xdr:row>
      <xdr:rowOff>127654</xdr:rowOff>
    </xdr:from>
    <xdr:to>
      <xdr:col>20</xdr:col>
      <xdr:colOff>88378</xdr:colOff>
      <xdr:row>17</xdr:row>
      <xdr:rowOff>61933</xdr:rowOff>
    </xdr:to>
    <mc:AlternateContent xmlns:mc="http://schemas.openxmlformats.org/markup-compatibility/2006">
      <mc:Choice xmlns:tsle="http://schemas.microsoft.com/office/drawing/2012/timeslicer" Requires="tsle">
        <xdr:graphicFrame macro="">
          <xdr:nvGraphicFramePr>
            <xdr:cNvPr id="18" name="Order_Date">
              <a:extLst>
                <a:ext uri="{FF2B5EF4-FFF2-40B4-BE49-F238E27FC236}">
                  <a16:creationId xmlns:a16="http://schemas.microsoft.com/office/drawing/2014/main" id="{2E5625FC-AE8B-82D5-F424-C3744E32675D}"/>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8362689" y="1588154"/>
              <a:ext cx="3552564" cy="183927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142874</xdr:colOff>
      <xdr:row>9</xdr:row>
      <xdr:rowOff>38100</xdr:rowOff>
    </xdr:from>
    <xdr:to>
      <xdr:col>15</xdr:col>
      <xdr:colOff>381000</xdr:colOff>
      <xdr:row>28</xdr:row>
      <xdr:rowOff>100012</xdr:rowOff>
    </xdr:to>
    <xdr:graphicFrame macro="">
      <xdr:nvGraphicFramePr>
        <xdr:cNvPr id="2" name="Chart 1">
          <a:extLst>
            <a:ext uri="{FF2B5EF4-FFF2-40B4-BE49-F238E27FC236}">
              <a16:creationId xmlns:a16="http://schemas.microsoft.com/office/drawing/2014/main" id="{D8E035C8-513F-3948-0A10-B665C7F1D6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561974</xdr:colOff>
      <xdr:row>0</xdr:row>
      <xdr:rowOff>161925</xdr:rowOff>
    </xdr:from>
    <xdr:to>
      <xdr:col>15</xdr:col>
      <xdr:colOff>400049</xdr:colOff>
      <xdr:row>30</xdr:row>
      <xdr:rowOff>47625</xdr:rowOff>
    </xdr:to>
    <xdr:graphicFrame macro="">
      <xdr:nvGraphicFramePr>
        <xdr:cNvPr id="2" name="Chart 1">
          <a:extLst>
            <a:ext uri="{FF2B5EF4-FFF2-40B4-BE49-F238E27FC236}">
              <a16:creationId xmlns:a16="http://schemas.microsoft.com/office/drawing/2014/main" id="{055AE0BE-C1A7-E1AE-0E6C-93262BCB28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457199</xdr:colOff>
      <xdr:row>6</xdr:row>
      <xdr:rowOff>180976</xdr:rowOff>
    </xdr:from>
    <xdr:to>
      <xdr:col>15</xdr:col>
      <xdr:colOff>152400</xdr:colOff>
      <xdr:row>32</xdr:row>
      <xdr:rowOff>95250</xdr:rowOff>
    </xdr:to>
    <xdr:graphicFrame macro="">
      <xdr:nvGraphicFramePr>
        <xdr:cNvPr id="2" name="Chart 1">
          <a:extLst>
            <a:ext uri="{FF2B5EF4-FFF2-40B4-BE49-F238E27FC236}">
              <a16:creationId xmlns:a16="http://schemas.microsoft.com/office/drawing/2014/main" id="{E50605DC-4F93-1042-F04B-0655E1A265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28575</xdr:colOff>
      <xdr:row>6</xdr:row>
      <xdr:rowOff>47625</xdr:rowOff>
    </xdr:from>
    <xdr:to>
      <xdr:col>15</xdr:col>
      <xdr:colOff>466725</xdr:colOff>
      <xdr:row>27</xdr:row>
      <xdr:rowOff>138112</xdr:rowOff>
    </xdr:to>
    <xdr:graphicFrame macro="">
      <xdr:nvGraphicFramePr>
        <xdr:cNvPr id="3" name="Chart 2">
          <a:extLst>
            <a:ext uri="{FF2B5EF4-FFF2-40B4-BE49-F238E27FC236}">
              <a16:creationId xmlns:a16="http://schemas.microsoft.com/office/drawing/2014/main" id="{414C4699-81DE-F32B-C653-82A04C709B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314324</xdr:colOff>
      <xdr:row>4</xdr:row>
      <xdr:rowOff>104775</xdr:rowOff>
    </xdr:from>
    <xdr:to>
      <xdr:col>17</xdr:col>
      <xdr:colOff>95249</xdr:colOff>
      <xdr:row>28</xdr:row>
      <xdr:rowOff>66675</xdr:rowOff>
    </xdr:to>
    <xdr:graphicFrame macro="">
      <xdr:nvGraphicFramePr>
        <xdr:cNvPr id="2" name="Chart 1">
          <a:extLst>
            <a:ext uri="{FF2B5EF4-FFF2-40B4-BE49-F238E27FC236}">
              <a16:creationId xmlns:a16="http://schemas.microsoft.com/office/drawing/2014/main" id="{75D4A77A-7CEE-ECBA-2852-86C0E4FCDB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361950</xdr:colOff>
      <xdr:row>3</xdr:row>
      <xdr:rowOff>23812</xdr:rowOff>
    </xdr:from>
    <xdr:to>
      <xdr:col>13</xdr:col>
      <xdr:colOff>57150</xdr:colOff>
      <xdr:row>17</xdr:row>
      <xdr:rowOff>100012</xdr:rowOff>
    </xdr:to>
    <xdr:graphicFrame macro="">
      <xdr:nvGraphicFramePr>
        <xdr:cNvPr id="2" name="Chart 1">
          <a:extLst>
            <a:ext uri="{FF2B5EF4-FFF2-40B4-BE49-F238E27FC236}">
              <a16:creationId xmlns:a16="http://schemas.microsoft.com/office/drawing/2014/main" id="{999716CF-3794-9740-971A-33A57D870A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333374</xdr:colOff>
      <xdr:row>3</xdr:row>
      <xdr:rowOff>161924</xdr:rowOff>
    </xdr:from>
    <xdr:to>
      <xdr:col>16</xdr:col>
      <xdr:colOff>266700</xdr:colOff>
      <xdr:row>32</xdr:row>
      <xdr:rowOff>171449</xdr:rowOff>
    </xdr:to>
    <xdr:graphicFrame macro="">
      <xdr:nvGraphicFramePr>
        <xdr:cNvPr id="2" name="Chart 1">
          <a:extLst>
            <a:ext uri="{FF2B5EF4-FFF2-40B4-BE49-F238E27FC236}">
              <a16:creationId xmlns:a16="http://schemas.microsoft.com/office/drawing/2014/main" id="{9570F9E6-1A06-C98D-A2D6-A0BCEA05C5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S.Ritika sha" refreshedDate="46259.622447337963" createdVersion="8" refreshedVersion="8" minRefreshableVersion="3" recordCount="500" xr:uid="{27DD5B3C-384A-4184-8586-C13BD143184A}">
  <cacheSource type="worksheet">
    <worksheetSource name="Table1"/>
  </cacheSource>
  <cacheFields count="25">
    <cacheField name="Order_ID" numFmtId="0">
      <sharedItems count="500">
        <s v="TNORD0001"/>
        <s v="TNORD0002"/>
        <s v="TNORD0003"/>
        <s v="TNORD0004"/>
        <s v="TNORD0005"/>
        <s v="TNORD0006"/>
        <s v="TNORD0007"/>
        <s v="TNORD0008"/>
        <s v="TNORD0009"/>
        <s v="TNORD0010"/>
        <s v="TNORD0011"/>
        <s v="TNORD0012"/>
        <s v="TNORD0013"/>
        <s v="TNORD0014"/>
        <s v="TNORD0015"/>
        <s v="TNORD0016"/>
        <s v="TNORD0017"/>
        <s v="TNORD0018"/>
        <s v="TNORD0019"/>
        <s v="TNORD0020"/>
        <s v="TNORD0021"/>
        <s v="TNORD0022"/>
        <s v="TNORD0023"/>
        <s v="TNORD0024"/>
        <s v="TNORD0025"/>
        <s v="TNORD0026"/>
        <s v="TNORD0027"/>
        <s v="TNORD0028"/>
        <s v="TNORD0029"/>
        <s v="TNORD0030"/>
        <s v="TNORD0031"/>
        <s v="TNORD0032"/>
        <s v="TNORD0033"/>
        <s v="TNORD0034"/>
        <s v="TNORD0035"/>
        <s v="TNORD0036"/>
        <s v="TNORD0037"/>
        <s v="TNORD0038"/>
        <s v="TNORD0039"/>
        <s v="TNORD0040"/>
        <s v="TNORD0041"/>
        <s v="TNORD0042"/>
        <s v="TNORD0043"/>
        <s v="TNORD0044"/>
        <s v="TNORD0045"/>
        <s v="TNORD0046"/>
        <s v="TNORD0047"/>
        <s v="TNORD0048"/>
        <s v="TNORD0049"/>
        <s v="TNORD0050"/>
        <s v="TNORD0051"/>
        <s v="TNORD0052"/>
        <s v="TNORD0053"/>
        <s v="TNORD0054"/>
        <s v="TNORD0055"/>
        <s v="TNORD0056"/>
        <s v="TNORD0057"/>
        <s v="TNORD0058"/>
        <s v="TNORD0059"/>
        <s v="TNORD0060"/>
        <s v="TNORD0061"/>
        <s v="TNORD0062"/>
        <s v="TNORD0063"/>
        <s v="TNORD0064"/>
        <s v="TNORD0065"/>
        <s v="TNORD0066"/>
        <s v="TNORD0067"/>
        <s v="TNORD0068"/>
        <s v="TNORD0069"/>
        <s v="TNORD0070"/>
        <s v="TNORD0071"/>
        <s v="TNORD0072"/>
        <s v="TNORD0073"/>
        <s v="TNORD0074"/>
        <s v="TNORD0075"/>
        <s v="TNORD0076"/>
        <s v="TNORD0077"/>
        <s v="TNORD0078"/>
        <s v="TNORD0079"/>
        <s v="TNORD0080"/>
        <s v="TNORD0081"/>
        <s v="TNORD0082"/>
        <s v="TNORD0083"/>
        <s v="TNORD0084"/>
        <s v="TNORD0085"/>
        <s v="TNORD0086"/>
        <s v="TNORD0087"/>
        <s v="TNORD0088"/>
        <s v="TNORD0089"/>
        <s v="TNORD0090"/>
        <s v="TNORD0091"/>
        <s v="TNORD0092"/>
        <s v="TNORD0093"/>
        <s v="TNORD0094"/>
        <s v="TNORD0095"/>
        <s v="TNORD0096"/>
        <s v="TNORD0097"/>
        <s v="TNORD0098"/>
        <s v="TNORD0099"/>
        <s v="TNORD0100"/>
        <s v="TNORD0101"/>
        <s v="TNORD0102"/>
        <s v="TNORD0103"/>
        <s v="TNORD0104"/>
        <s v="TNORD0105"/>
        <s v="TNORD0106"/>
        <s v="TNORD0107"/>
        <s v="TNORD0108"/>
        <s v="TNORD0109"/>
        <s v="TNORD0110"/>
        <s v="TNORD0111"/>
        <s v="TNORD0112"/>
        <s v="TNORD0113"/>
        <s v="TNORD0114"/>
        <s v="TNORD0115"/>
        <s v="TNORD0116"/>
        <s v="TNORD0117"/>
        <s v="TNORD0118"/>
        <s v="TNORD0119"/>
        <s v="TNORD0120"/>
        <s v="TNORD0121"/>
        <s v="TNORD0122"/>
        <s v="TNORD0123"/>
        <s v="TNORD0124"/>
        <s v="TNORD0125"/>
        <s v="TNORD0126"/>
        <s v="TNORD0127"/>
        <s v="TNORD0128"/>
        <s v="TNORD0129"/>
        <s v="TNORD0130"/>
        <s v="TNORD0131"/>
        <s v="TNORD0132"/>
        <s v="TNORD0133"/>
        <s v="TNORD0134"/>
        <s v="TNORD0135"/>
        <s v="TNORD0136"/>
        <s v="TNORD0137"/>
        <s v="TNORD0138"/>
        <s v="TNORD0139"/>
        <s v="TNORD0140"/>
        <s v="TNORD0141"/>
        <s v="TNORD0142"/>
        <s v="TNORD0143"/>
        <s v="TNORD0144"/>
        <s v="TNORD0145"/>
        <s v="TNORD0146"/>
        <s v="TNORD0147"/>
        <s v="TNORD0148"/>
        <s v="TNORD0149"/>
        <s v="TNORD0150"/>
        <s v="TNORD0151"/>
        <s v="TNORD0152"/>
        <s v="TNORD0153"/>
        <s v="TNORD0154"/>
        <s v="TNORD0155"/>
        <s v="TNORD0156"/>
        <s v="TNORD0157"/>
        <s v="TNORD0158"/>
        <s v="TNORD0159"/>
        <s v="TNORD0160"/>
        <s v="TNORD0161"/>
        <s v="TNORD0162"/>
        <s v="TNORD0163"/>
        <s v="TNORD0164"/>
        <s v="TNORD0165"/>
        <s v="TNORD0166"/>
        <s v="TNORD0167"/>
        <s v="TNORD0168"/>
        <s v="TNORD0169"/>
        <s v="TNORD0170"/>
        <s v="TNORD0171"/>
        <s v="TNORD0172"/>
        <s v="TNORD0173"/>
        <s v="TNORD0174"/>
        <s v="TNORD0175"/>
        <s v="TNORD0176"/>
        <s v="TNORD0177"/>
        <s v="TNORD0178"/>
        <s v="TNORD0179"/>
        <s v="TNORD0180"/>
        <s v="TNORD0181"/>
        <s v="TNORD0182"/>
        <s v="TNORD0183"/>
        <s v="TNORD0184"/>
        <s v="TNORD0185"/>
        <s v="TNORD0186"/>
        <s v="TNORD0187"/>
        <s v="TNORD0188"/>
        <s v="TNORD0189"/>
        <s v="TNORD0190"/>
        <s v="TNORD0191"/>
        <s v="TNORD0192"/>
        <s v="TNORD0193"/>
        <s v="TNORD0194"/>
        <s v="TNORD0195"/>
        <s v="TNORD0196"/>
        <s v="TNORD0197"/>
        <s v="TNORD0198"/>
        <s v="TNORD0199"/>
        <s v="TNORD0200"/>
        <s v="TNORD0201"/>
        <s v="TNORD0202"/>
        <s v="TNORD0203"/>
        <s v="TNORD0204"/>
        <s v="TNORD0205"/>
        <s v="TNORD0206"/>
        <s v="TNORD0207"/>
        <s v="TNORD0208"/>
        <s v="TNORD0209"/>
        <s v="TNORD0210"/>
        <s v="TNORD0211"/>
        <s v="TNORD0212"/>
        <s v="TNORD0213"/>
        <s v="TNORD0214"/>
        <s v="TNORD0215"/>
        <s v="TNORD0216"/>
        <s v="TNORD0217"/>
        <s v="TNORD0218"/>
        <s v="TNORD0219"/>
        <s v="TNORD0220"/>
        <s v="TNORD0221"/>
        <s v="TNORD0222"/>
        <s v="TNORD0223"/>
        <s v="TNORD0224"/>
        <s v="TNORD0225"/>
        <s v="TNORD0226"/>
        <s v="TNORD0227"/>
        <s v="TNORD0228"/>
        <s v="TNORD0229"/>
        <s v="TNORD0230"/>
        <s v="TNORD0231"/>
        <s v="TNORD0232"/>
        <s v="TNORD0233"/>
        <s v="TNORD0234"/>
        <s v="TNORD0235"/>
        <s v="TNORD0236"/>
        <s v="TNORD0237"/>
        <s v="TNORD0238"/>
        <s v="TNORD0239"/>
        <s v="TNORD0240"/>
        <s v="TNORD0241"/>
        <s v="TNORD0242"/>
        <s v="TNORD0243"/>
        <s v="TNORD0244"/>
        <s v="TNORD0245"/>
        <s v="TNORD0246"/>
        <s v="TNORD0247"/>
        <s v="TNORD0248"/>
        <s v="TNORD0249"/>
        <s v="TNORD0250"/>
        <s v="TNORD0251"/>
        <s v="TNORD0252"/>
        <s v="TNORD0253"/>
        <s v="TNORD0254"/>
        <s v="TNORD0255"/>
        <s v="TNORD0256"/>
        <s v="TNORD0257"/>
        <s v="TNORD0258"/>
        <s v="TNORD0259"/>
        <s v="TNORD0260"/>
        <s v="TNORD0261"/>
        <s v="TNORD0262"/>
        <s v="TNORD0263"/>
        <s v="TNORD0264"/>
        <s v="TNORD0265"/>
        <s v="TNORD0266"/>
        <s v="TNORD0267"/>
        <s v="TNORD0268"/>
        <s v="TNORD0269"/>
        <s v="TNORD0270"/>
        <s v="TNORD0271"/>
        <s v="TNORD0272"/>
        <s v="TNORD0273"/>
        <s v="TNORD0274"/>
        <s v="TNORD0275"/>
        <s v="TNORD0276"/>
        <s v="TNORD0277"/>
        <s v="TNORD0278"/>
        <s v="TNORD0279"/>
        <s v="TNORD0280"/>
        <s v="TNORD0281"/>
        <s v="TNORD0282"/>
        <s v="TNORD0283"/>
        <s v="TNORD0284"/>
        <s v="TNORD0285"/>
        <s v="TNORD0286"/>
        <s v="TNORD0287"/>
        <s v="TNORD0288"/>
        <s v="TNORD0289"/>
        <s v="TNORD0290"/>
        <s v="TNORD0291"/>
        <s v="TNORD0292"/>
        <s v="TNORD0293"/>
        <s v="TNORD0294"/>
        <s v="TNORD0295"/>
        <s v="TNORD0296"/>
        <s v="TNORD0297"/>
        <s v="TNORD0298"/>
        <s v="TNORD0299"/>
        <s v="TNORD0300"/>
        <s v="TNORD0301"/>
        <s v="TNORD0302"/>
        <s v="TNORD0303"/>
        <s v="TNORD0304"/>
        <s v="TNORD0305"/>
        <s v="TNORD0306"/>
        <s v="TNORD0307"/>
        <s v="TNORD0308"/>
        <s v="TNORD0309"/>
        <s v="TNORD0310"/>
        <s v="TNORD0311"/>
        <s v="TNORD0312"/>
        <s v="TNORD0313"/>
        <s v="TNORD0314"/>
        <s v="TNORD0315"/>
        <s v="TNORD0316"/>
        <s v="TNORD0317"/>
        <s v="TNORD0318"/>
        <s v="TNORD0319"/>
        <s v="TNORD0320"/>
        <s v="TNORD0321"/>
        <s v="TNORD0322"/>
        <s v="TNORD0323"/>
        <s v="TNORD0324"/>
        <s v="TNORD0325"/>
        <s v="TNORD0326"/>
        <s v="TNORD0327"/>
        <s v="TNORD0328"/>
        <s v="TNORD0329"/>
        <s v="TNORD0330"/>
        <s v="TNORD0331"/>
        <s v="TNORD0332"/>
        <s v="TNORD0333"/>
        <s v="TNORD0334"/>
        <s v="TNORD0335"/>
        <s v="TNORD0336"/>
        <s v="TNORD0337"/>
        <s v="TNORD0338"/>
        <s v="TNORD0339"/>
        <s v="TNORD0340"/>
        <s v="TNORD0341"/>
        <s v="TNORD0342"/>
        <s v="TNORD0343"/>
        <s v="TNORD0344"/>
        <s v="TNORD0345"/>
        <s v="TNORD0346"/>
        <s v="TNORD0347"/>
        <s v="TNORD0348"/>
        <s v="TNORD0349"/>
        <s v="TNORD0350"/>
        <s v="TNORD0351"/>
        <s v="TNORD0352"/>
        <s v="TNORD0353"/>
        <s v="TNORD0354"/>
        <s v="TNORD0355"/>
        <s v="TNORD0356"/>
        <s v="TNORD0357"/>
        <s v="TNORD0358"/>
        <s v="TNORD0359"/>
        <s v="TNORD0360"/>
        <s v="TNORD0361"/>
        <s v="TNORD0362"/>
        <s v="TNORD0363"/>
        <s v="TNORD0364"/>
        <s v="TNORD0365"/>
        <s v="TNORD0366"/>
        <s v="TNORD0367"/>
        <s v="TNORD0368"/>
        <s v="TNORD0369"/>
        <s v="TNORD0370"/>
        <s v="TNORD0371"/>
        <s v="TNORD0372"/>
        <s v="TNORD0373"/>
        <s v="TNORD0374"/>
        <s v="TNORD0375"/>
        <s v="TNORD0376"/>
        <s v="TNORD0377"/>
        <s v="TNORD0378"/>
        <s v="TNORD0379"/>
        <s v="TNORD0380"/>
        <s v="TNORD0381"/>
        <s v="TNORD0382"/>
        <s v="TNORD0383"/>
        <s v="TNORD0384"/>
        <s v="TNORD0385"/>
        <s v="TNORD0386"/>
        <s v="TNORD0387"/>
        <s v="TNORD0388"/>
        <s v="TNORD0389"/>
        <s v="TNORD0390"/>
        <s v="TNORD0391"/>
        <s v="TNORD0392"/>
        <s v="TNORD0393"/>
        <s v="TNORD0394"/>
        <s v="TNORD0395"/>
        <s v="TNORD0396"/>
        <s v="TNORD0397"/>
        <s v="TNORD0398"/>
        <s v="TNORD0399"/>
        <s v="TNORD0400"/>
        <s v="TNORD0401"/>
        <s v="TNORD0402"/>
        <s v="TNORD0403"/>
        <s v="TNORD0404"/>
        <s v="TNORD0405"/>
        <s v="TNORD0406"/>
        <s v="TNORD0407"/>
        <s v="TNORD0408"/>
        <s v="TNORD0409"/>
        <s v="TNORD0410"/>
        <s v="TNORD0411"/>
        <s v="TNORD0412"/>
        <s v="TNORD0413"/>
        <s v="TNORD0414"/>
        <s v="TNORD0415"/>
        <s v="TNORD0416"/>
        <s v="TNORD0417"/>
        <s v="TNORD0418"/>
        <s v="TNORD0419"/>
        <s v="TNORD0420"/>
        <s v="TNORD0421"/>
        <s v="TNORD0422"/>
        <s v="TNORD0423"/>
        <s v="TNORD0424"/>
        <s v="TNORD0425"/>
        <s v="TNORD0426"/>
        <s v="TNORD0427"/>
        <s v="TNORD0428"/>
        <s v="TNORD0429"/>
        <s v="TNORD0430"/>
        <s v="TNORD0431"/>
        <s v="TNORD0432"/>
        <s v="TNORD0433"/>
        <s v="TNORD0434"/>
        <s v="TNORD0435"/>
        <s v="TNORD0436"/>
        <s v="TNORD0437"/>
        <s v="TNORD0438"/>
        <s v="TNORD0439"/>
        <s v="TNORD0440"/>
        <s v="TNORD0441"/>
        <s v="TNORD0442"/>
        <s v="TNORD0443"/>
        <s v="TNORD0444"/>
        <s v="TNORD0445"/>
        <s v="TNORD0446"/>
        <s v="TNORD0447"/>
        <s v="TNORD0448"/>
        <s v="TNORD0449"/>
        <s v="TNORD0450"/>
        <s v="TNORD0451"/>
        <s v="TNORD0452"/>
        <s v="TNORD0453"/>
        <s v="TNORD0454"/>
        <s v="TNORD0455"/>
        <s v="TNORD0456"/>
        <s v="TNORD0457"/>
        <s v="TNORD0458"/>
        <s v="TNORD0459"/>
        <s v="TNORD0460"/>
        <s v="TNORD0461"/>
        <s v="TNORD0462"/>
        <s v="TNORD0463"/>
        <s v="TNORD0464"/>
        <s v="TNORD0465"/>
        <s v="TNORD0466"/>
        <s v="TNORD0467"/>
        <s v="TNORD0468"/>
        <s v="TNORD0469"/>
        <s v="TNORD0470"/>
        <s v="TNORD0471"/>
        <s v="TNORD0472"/>
        <s v="TNORD0473"/>
        <s v="TNORD0474"/>
        <s v="TNORD0475"/>
        <s v="TNORD0476"/>
        <s v="TNORD0477"/>
        <s v="TNORD0478"/>
        <s v="TNORD0479"/>
        <s v="TNORD0480"/>
        <s v="TNORD0481"/>
        <s v="TNORD0482"/>
        <s v="TNORD0483"/>
        <s v="TNORD0484"/>
        <s v="TNORD0485"/>
        <s v="TNORD0486"/>
        <s v="TNORD0487"/>
        <s v="TNORD0488"/>
        <s v="TNORD0489"/>
        <s v="TNORD0490"/>
        <s v="TNORD0491"/>
        <s v="TNORD0492"/>
        <s v="TNORD0493"/>
        <s v="TNORD0494"/>
        <s v="TNORD0495"/>
        <s v="TNORD0496"/>
        <s v="TNORD0497"/>
        <s v="TNORD0498"/>
        <s v="TNORD0499"/>
        <s v="TNORD0500"/>
      </sharedItems>
    </cacheField>
    <cacheField name="Customer_ID" numFmtId="0">
      <sharedItems/>
    </cacheField>
    <cacheField name="Order_Date" numFmtId="14">
      <sharedItems containsSemiMixedTypes="0" containsNonDate="0" containsDate="1" containsString="0" minDate="2025-01-03T00:00:00" maxDate="2026-01-01T00:00:00" count="271">
        <d v="2025-01-17T00:00:00"/>
        <d v="2025-12-24T00:00:00"/>
        <d v="2025-02-10T00:00:00"/>
        <d v="2025-07-09T00:00:00"/>
        <d v="2025-01-29T00:00:00"/>
        <d v="2025-05-15T00:00:00"/>
        <d v="2025-07-15T00:00:00"/>
        <d v="2025-06-07T00:00:00"/>
        <d v="2025-04-19T00:00:00"/>
        <d v="2025-04-23T00:00:00"/>
        <d v="2025-10-23T00:00:00"/>
        <d v="2025-06-23T00:00:00"/>
        <d v="2025-01-08T00:00:00"/>
        <d v="2025-10-12T00:00:00"/>
        <d v="2025-02-11T00:00:00"/>
        <d v="2025-04-15T00:00:00"/>
        <d v="2025-06-28T00:00:00"/>
        <d v="2025-05-20T00:00:00"/>
        <d v="2025-03-08T00:00:00"/>
        <d v="2025-07-30T00:00:00"/>
        <d v="2025-04-09T00:00:00"/>
        <d v="2025-06-26T00:00:00"/>
        <d v="2025-11-16T00:00:00"/>
        <d v="2025-11-12T00:00:00"/>
        <d v="2025-03-28T00:00:00"/>
        <d v="2025-08-22T00:00:00"/>
        <d v="2025-03-04T00:00:00"/>
        <d v="2025-05-07T00:00:00"/>
        <d v="2025-07-16T00:00:00"/>
        <d v="2025-06-30T00:00:00"/>
        <d v="2025-08-28T00:00:00"/>
        <d v="2025-06-22T00:00:00"/>
        <d v="2025-11-15T00:00:00"/>
        <d v="2025-10-22T00:00:00"/>
        <d v="2025-08-12T00:00:00"/>
        <d v="2025-05-13T00:00:00"/>
        <d v="2025-02-17T00:00:00"/>
        <d v="2025-04-29T00:00:00"/>
        <d v="2025-06-04T00:00:00"/>
        <d v="2025-05-10T00:00:00"/>
        <d v="2025-11-02T00:00:00"/>
        <d v="2025-05-03T00:00:00"/>
        <d v="2025-05-16T00:00:00"/>
        <d v="2025-05-28T00:00:00"/>
        <d v="2025-04-28T00:00:00"/>
        <d v="2025-07-26T00:00:00"/>
        <d v="2025-08-13T00:00:00"/>
        <d v="2025-11-28T00:00:00"/>
        <d v="2025-03-11T00:00:00"/>
        <d v="2025-07-13T00:00:00"/>
        <d v="2025-06-19T00:00:00"/>
        <d v="2025-10-01T00:00:00"/>
        <d v="2025-03-27T00:00:00"/>
        <d v="2025-11-09T00:00:00"/>
        <d v="2025-08-15T00:00:00"/>
        <d v="2025-12-04T00:00:00"/>
        <d v="2025-03-12T00:00:00"/>
        <d v="2025-07-07T00:00:00"/>
        <d v="2025-10-13T00:00:00"/>
        <d v="2025-10-15T00:00:00"/>
        <d v="2025-07-18T00:00:00"/>
        <d v="2025-05-01T00:00:00"/>
        <d v="2025-06-20T00:00:00"/>
        <d v="2025-03-31T00:00:00"/>
        <d v="2025-07-05T00:00:00"/>
        <d v="2025-09-09T00:00:00"/>
        <d v="2025-12-26T00:00:00"/>
        <d v="2025-03-20T00:00:00"/>
        <d v="2025-12-07T00:00:00"/>
        <d v="2025-02-28T00:00:00"/>
        <d v="2025-01-04T00:00:00"/>
        <d v="2025-06-16T00:00:00"/>
        <d v="2025-09-20T00:00:00"/>
        <d v="2025-05-11T00:00:00"/>
        <d v="2025-08-24T00:00:00"/>
        <d v="2025-02-24T00:00:00"/>
        <d v="2025-06-29T00:00:00"/>
        <d v="2025-10-24T00:00:00"/>
        <d v="2025-08-25T00:00:00"/>
        <d v="2025-11-06T00:00:00"/>
        <d v="2025-05-25T00:00:00"/>
        <d v="2025-03-18T00:00:00"/>
        <d v="2025-02-21T00:00:00"/>
        <d v="2025-08-14T00:00:00"/>
        <d v="2025-03-05T00:00:00"/>
        <d v="2025-11-08T00:00:00"/>
        <d v="2025-05-04T00:00:00"/>
        <d v="2025-10-11T00:00:00"/>
        <d v="2025-01-23T00:00:00"/>
        <d v="2025-06-08T00:00:00"/>
        <d v="2025-06-01T00:00:00"/>
        <d v="2025-12-14T00:00:00"/>
        <d v="2025-02-09T00:00:00"/>
        <d v="2025-11-10T00:00:00"/>
        <d v="2025-03-22T00:00:00"/>
        <d v="2025-02-14T00:00:00"/>
        <d v="2025-10-10T00:00:00"/>
        <d v="2025-05-26T00:00:00"/>
        <d v="2025-09-05T00:00:00"/>
        <d v="2025-08-23T00:00:00"/>
        <d v="2025-03-07T00:00:00"/>
        <d v="2025-06-03T00:00:00"/>
        <d v="2025-09-26T00:00:00"/>
        <d v="2025-12-15T00:00:00"/>
        <d v="2025-05-21T00:00:00"/>
        <d v="2025-04-20T00:00:00"/>
        <d v="2025-08-30T00:00:00"/>
        <d v="2025-08-17T00:00:00"/>
        <d v="2025-12-27T00:00:00"/>
        <d v="2025-03-26T00:00:00"/>
        <d v="2025-12-11T00:00:00"/>
        <d v="2025-04-25T00:00:00"/>
        <d v="2025-12-05T00:00:00"/>
        <d v="2025-04-26T00:00:00"/>
        <d v="2025-10-02T00:00:00"/>
        <d v="2025-07-04T00:00:00"/>
        <d v="2025-10-07T00:00:00"/>
        <d v="2025-07-11T00:00:00"/>
        <d v="2025-09-15T00:00:00"/>
        <d v="2025-09-13T00:00:00"/>
        <d v="2025-12-03T00:00:00"/>
        <d v="2025-08-19T00:00:00"/>
        <d v="2025-02-22T00:00:00"/>
        <d v="2025-07-14T00:00:00"/>
        <d v="2025-09-03T00:00:00"/>
        <d v="2025-04-13T00:00:00"/>
        <d v="2025-08-05T00:00:00"/>
        <d v="2025-07-20T00:00:00"/>
        <d v="2025-09-01T00:00:00"/>
        <d v="2025-03-23T00:00:00"/>
        <d v="2025-04-16T00:00:00"/>
        <d v="2025-07-03T00:00:00"/>
        <d v="2025-12-30T00:00:00"/>
        <d v="2025-05-17T00:00:00"/>
        <d v="2025-09-06T00:00:00"/>
        <d v="2025-11-29T00:00:00"/>
        <d v="2025-03-19T00:00:00"/>
        <d v="2025-11-04T00:00:00"/>
        <d v="2025-09-19T00:00:00"/>
        <d v="2025-03-06T00:00:00"/>
        <d v="2025-07-08T00:00:00"/>
        <d v="2025-01-19T00:00:00"/>
        <d v="2025-09-22T00:00:00"/>
        <d v="2025-03-10T00:00:00"/>
        <d v="2025-12-18T00:00:00"/>
        <d v="2025-08-20T00:00:00"/>
        <d v="2025-05-24T00:00:00"/>
        <d v="2025-05-19T00:00:00"/>
        <d v="2025-09-10T00:00:00"/>
        <d v="2025-04-01T00:00:00"/>
        <d v="2025-05-02T00:00:00"/>
        <d v="2025-07-31T00:00:00"/>
        <d v="2025-06-25T00:00:00"/>
        <d v="2025-07-29T00:00:00"/>
        <d v="2025-08-07T00:00:00"/>
        <d v="2025-12-23T00:00:00"/>
        <d v="2025-07-22T00:00:00"/>
        <d v="2025-04-14T00:00:00"/>
        <d v="2025-01-07T00:00:00"/>
        <d v="2025-04-07T00:00:00"/>
        <d v="2025-08-31T00:00:00"/>
        <d v="2025-05-18T00:00:00"/>
        <d v="2025-11-24T00:00:00"/>
        <d v="2025-06-14T00:00:00"/>
        <d v="2025-06-02T00:00:00"/>
        <d v="2025-03-09T00:00:00"/>
        <d v="2025-12-20T00:00:00"/>
        <d v="2025-10-08T00:00:00"/>
        <d v="2025-11-26T00:00:00"/>
        <d v="2025-12-06T00:00:00"/>
        <d v="2025-08-04T00:00:00"/>
        <d v="2025-12-25T00:00:00"/>
        <d v="2025-09-11T00:00:00"/>
        <d v="2025-10-21T00:00:00"/>
        <d v="2025-11-23T00:00:00"/>
        <d v="2025-04-24T00:00:00"/>
        <d v="2025-07-21T00:00:00"/>
        <d v="2025-05-08T00:00:00"/>
        <d v="2025-05-29T00:00:00"/>
        <d v="2025-01-25T00:00:00"/>
        <d v="2025-04-10T00:00:00"/>
        <d v="2025-04-05T00:00:00"/>
        <d v="2025-05-09T00:00:00"/>
        <d v="2025-10-27T00:00:00"/>
        <d v="2025-01-28T00:00:00"/>
        <d v="2025-11-11T00:00:00"/>
        <d v="2025-12-09T00:00:00"/>
        <d v="2025-10-28T00:00:00"/>
        <d v="2025-09-21T00:00:00"/>
        <d v="2025-10-16T00:00:00"/>
        <d v="2025-10-09T00:00:00"/>
        <d v="2025-02-05T00:00:00"/>
        <d v="2025-10-14T00:00:00"/>
        <d v="2025-07-24T00:00:00"/>
        <d v="2025-05-12T00:00:00"/>
        <d v="2025-07-19T00:00:00"/>
        <d v="2025-02-15T00:00:00"/>
        <d v="2025-01-05T00:00:00"/>
        <d v="2025-11-21T00:00:00"/>
        <d v="2025-11-14T00:00:00"/>
        <d v="2025-02-06T00:00:00"/>
        <d v="2025-08-01T00:00:00"/>
        <d v="2025-01-26T00:00:00"/>
        <d v="2025-03-14T00:00:00"/>
        <d v="2025-12-31T00:00:00"/>
        <d v="2025-09-30T00:00:00"/>
        <d v="2025-10-18T00:00:00"/>
        <d v="2025-07-27T00:00:00"/>
        <d v="2025-05-06T00:00:00"/>
        <d v="2025-05-31T00:00:00"/>
        <d v="2025-08-21T00:00:00"/>
        <d v="2025-10-20T00:00:00"/>
        <d v="2025-09-12T00:00:00"/>
        <d v="2025-09-24T00:00:00"/>
        <d v="2025-04-21T00:00:00"/>
        <d v="2025-06-17T00:00:00"/>
        <d v="2025-11-19T00:00:00"/>
        <d v="2025-03-13T00:00:00"/>
        <d v="2025-02-13T00:00:00"/>
        <d v="2025-08-06T00:00:00"/>
        <d v="2025-04-03T00:00:00"/>
        <d v="2025-11-01T00:00:00"/>
        <d v="2025-01-10T00:00:00"/>
        <d v="2025-10-31T00:00:00"/>
        <d v="2025-09-25T00:00:00"/>
        <d v="2025-03-03T00:00:00"/>
        <d v="2025-05-05T00:00:00"/>
        <d v="2025-03-15T00:00:00"/>
        <d v="2025-03-02T00:00:00"/>
        <d v="2025-12-10T00:00:00"/>
        <d v="2025-02-07T00:00:00"/>
        <d v="2025-10-19T00:00:00"/>
        <d v="2025-01-03T00:00:00"/>
        <d v="2025-04-22T00:00:00"/>
        <d v="2025-06-21T00:00:00"/>
        <d v="2025-04-02T00:00:00"/>
        <d v="2025-11-27T00:00:00"/>
        <d v="2025-06-06T00:00:00"/>
        <d v="2025-10-17T00:00:00"/>
        <d v="2025-07-12T00:00:00"/>
        <d v="2025-12-19T00:00:00"/>
        <d v="2025-09-29T00:00:00"/>
        <d v="2025-02-16T00:00:00"/>
        <d v="2025-04-27T00:00:00"/>
        <d v="2025-06-09T00:00:00"/>
        <d v="2025-10-25T00:00:00"/>
        <d v="2025-11-18T00:00:00"/>
        <d v="2025-02-03T00:00:00"/>
        <d v="2025-12-16T00:00:00"/>
        <d v="2025-12-17T00:00:00"/>
        <d v="2025-01-06T00:00:00"/>
        <d v="2025-07-01T00:00:00"/>
        <d v="2025-08-29T00:00:00"/>
        <d v="2025-01-14T00:00:00"/>
        <d v="2025-04-17T00:00:00"/>
        <d v="2025-04-08T00:00:00"/>
        <d v="2025-08-18T00:00:00"/>
        <d v="2025-06-05T00:00:00"/>
        <d v="2025-10-04T00:00:00"/>
        <d v="2025-12-29T00:00:00"/>
        <d v="2025-09-18T00:00:00"/>
        <d v="2025-12-12T00:00:00"/>
        <d v="2025-11-22T00:00:00"/>
        <d v="2025-01-27T00:00:00"/>
        <d v="2025-08-10T00:00:00"/>
        <d v="2025-02-18T00:00:00"/>
        <d v="2025-11-30T00:00:00"/>
        <d v="2025-08-16T00:00:00"/>
        <d v="2025-12-22T00:00:00"/>
        <d v="2025-08-27T00:00:00"/>
        <d v="2025-02-12T00:00:00"/>
      </sharedItems>
      <fieldGroup par="24"/>
    </cacheField>
    <cacheField name="City" numFmtId="0">
      <sharedItems/>
    </cacheField>
    <cacheField name="District" numFmtId="0">
      <sharedItems count="15">
        <s v="Dindigul"/>
        <s v="Tiruchirappalli"/>
        <s v="Coimbatore"/>
        <s v="Madurai"/>
        <s v="Thanjavur"/>
        <s v="Vellore"/>
        <s v="Tirunelveli"/>
        <s v="Kanchipuram"/>
        <s v="Erode"/>
        <s v="Krishnagiri"/>
        <s v="Karur"/>
        <s v="Salem"/>
        <s v="Thoothukudi"/>
        <s v="Kanyakumari"/>
        <s v="Chennai"/>
      </sharedItems>
    </cacheField>
    <cacheField name="Gender" numFmtId="0">
      <sharedItems/>
    </cacheField>
    <cacheField name="Customer_Age" numFmtId="0">
      <sharedItems containsSemiMixedTypes="0" containsString="0" containsNumber="1" containsInteger="1" minValue="18" maxValue="60"/>
    </cacheField>
    <cacheField name="Age_Group" numFmtId="0">
      <sharedItems/>
    </cacheField>
    <cacheField name="Category" numFmtId="0">
      <sharedItems count="6">
        <s v="Electronics"/>
        <s v="Sports"/>
        <s v="Grocery"/>
        <s v="Beauty"/>
        <s v="Fashion"/>
        <s v="Home &amp; Kitchen"/>
      </sharedItems>
    </cacheField>
    <cacheField name="Product" numFmtId="0">
      <sharedItems count="30">
        <s v="Smartphone"/>
        <s v="Badminton Racket"/>
        <s v="Rice"/>
        <s v="Laptop"/>
        <s v="Shampoo"/>
        <s v="Moisturizer"/>
        <s v="Sunscreen"/>
        <s v="Kurta"/>
        <s v="Power Bank"/>
        <s v="Tea"/>
        <s v="Mixer Grinder"/>
        <s v="Running Shoes"/>
        <s v="T-Shirt"/>
        <s v="Face Wash"/>
        <s v="Spices"/>
        <s v="Perfume"/>
        <s v="Storage Box"/>
        <s v="Saree"/>
        <s v="Snacks"/>
        <s v="Yoga Mat"/>
        <s v="Football"/>
        <s v="Water Bottle"/>
        <s v="Cooking Oil"/>
        <s v="Jeans"/>
        <s v="Cricket Bat"/>
        <s v="Headphones"/>
        <s v="Bedsheet"/>
        <s v="Cookware Set"/>
        <s v="Smartwatch"/>
        <s v="Handbag"/>
      </sharedItems>
    </cacheField>
    <cacheField name="Quantity" numFmtId="1">
      <sharedItems containsSemiMixedTypes="0" containsString="0" containsNumber="1" containsInteger="1" minValue="1" maxValue="5"/>
    </cacheField>
    <cacheField name="Unit_Price_INR" numFmtId="0">
      <sharedItems containsSemiMixedTypes="0" containsString="0" containsNumber="1" containsInteger="1" minValue="82" maxValue="74049"/>
    </cacheField>
    <cacheField name="Discount" numFmtId="0">
      <sharedItems containsSemiMixedTypes="0" containsString="0" containsNumber="1" containsInteger="1" minValue="0" maxValue="25"/>
    </cacheField>
    <cacheField name="Discount %" numFmtId="0">
      <sharedItems containsSemiMixedTypes="0" containsString="0" containsNumber="1" minValue="0" maxValue="0.25"/>
    </cacheField>
    <cacheField name="Discount_Amount_INR" numFmtId="0">
      <sharedItems containsSemiMixedTypes="0" containsString="0" containsNumber="1" minValue="0" maxValue="60313"/>
    </cacheField>
    <cacheField name="Order_Value_INR" numFmtId="0">
      <sharedItems containsSemiMixedTypes="0" containsString="0" containsNumber="1" minValue="61.5" maxValue="251544.75"/>
    </cacheField>
    <cacheField name="Shipping_Charge_INR" numFmtId="0">
      <sharedItems containsSemiMixedTypes="0" containsString="0" containsNumber="1" containsInteger="1" minValue="20" maxValue="250"/>
    </cacheField>
    <cacheField name="Total_Amount_INR" numFmtId="0">
      <sharedItems containsSemiMixedTypes="0" containsString="0" containsNumber="1" minValue="292" maxValue="251718.75"/>
    </cacheField>
    <cacheField name="Payment_Method" numFmtId="0">
      <sharedItems count="6">
        <s v="UPI"/>
        <s v="Debit Card"/>
        <s v="Credit Card"/>
        <s v="Net Banking"/>
        <s v="Wallet"/>
        <s v="Cash on Delivery"/>
      </sharedItems>
    </cacheField>
    <cacheField name="Sales_Channel" numFmtId="0">
      <sharedItems count="3">
        <s v="Marketplace"/>
        <s v="Website"/>
        <s v="Mobile App"/>
      </sharedItems>
    </cacheField>
    <cacheField name="Order_Status" numFmtId="0">
      <sharedItems count="5">
        <s v="Delivered"/>
        <s v="Shipped"/>
        <s v="Processing"/>
        <s v="Returned"/>
        <s v="Cancelled"/>
      </sharedItems>
    </cacheField>
    <cacheField name="Delivery_Days" numFmtId="2">
      <sharedItems containsString="0" containsBlank="1" containsNumber="1" containsInteger="1" minValue="1" maxValue="7"/>
    </cacheField>
    <cacheField name="Customer_Rating" numFmtId="2">
      <sharedItems containsString="0" containsBlank="1" containsNumber="1" minValue="3" maxValue="5"/>
    </cacheField>
    <cacheField name="Days (Order_Date)" numFmtId="0" databaseField="0">
      <fieldGroup base="2">
        <rangePr groupBy="days" startDate="2025-01-03T00:00:00" endDate="2026-01-01T00:00:00"/>
        <groupItems count="368">
          <s v="&lt;03-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Order_Date)" numFmtId="0" databaseField="0">
      <fieldGroup base="2">
        <rangePr groupBy="months" startDate="2025-01-03T00:00:00" endDate="2026-01-01T00:00:00"/>
        <groupItems count="14">
          <s v="&lt;03-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15351279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TNCUST0060"/>
    <x v="0"/>
    <s v="Dindigul"/>
    <x v="0"/>
    <s v="Other"/>
    <n v="23"/>
    <s v="56+"/>
    <x v="0"/>
    <x v="0"/>
    <n v="3"/>
    <n v="32898"/>
    <n v="20"/>
    <n v="0.2"/>
    <n v="19738.8"/>
    <n v="78955.199999999997"/>
    <n v="128"/>
    <n v="79083.199999999997"/>
    <x v="0"/>
    <x v="0"/>
    <x v="0"/>
    <n v="1"/>
    <n v="3.5"/>
  </r>
  <r>
    <x v="1"/>
    <s v="TNCUST0072"/>
    <x v="1"/>
    <s v="Tiruchirappalli"/>
    <x v="1"/>
    <s v="Male"/>
    <n v="39"/>
    <s v="26-35"/>
    <x v="1"/>
    <x v="1"/>
    <n v="4"/>
    <n v="7521"/>
    <n v="0"/>
    <n v="0"/>
    <n v="0"/>
    <n v="30084"/>
    <n v="60"/>
    <n v="30144"/>
    <x v="1"/>
    <x v="1"/>
    <x v="1"/>
    <n v="4"/>
    <m/>
  </r>
  <r>
    <x v="2"/>
    <s v="TNCUST0159"/>
    <x v="2"/>
    <s v="Coimbatore"/>
    <x v="2"/>
    <s v="Female"/>
    <n v="36"/>
    <s v="56+"/>
    <x v="2"/>
    <x v="2"/>
    <n v="3"/>
    <n v="257"/>
    <n v="20"/>
    <n v="0.2"/>
    <n v="154.19999999999999"/>
    <n v="616.79999999999995"/>
    <n v="116"/>
    <n v="732.8"/>
    <x v="2"/>
    <x v="0"/>
    <x v="0"/>
    <n v="5"/>
    <n v="5"/>
  </r>
  <r>
    <x v="3"/>
    <s v="TNCUST0172"/>
    <x v="3"/>
    <s v="Coimbatore"/>
    <x v="2"/>
    <s v="Female"/>
    <n v="31"/>
    <s v="18-25"/>
    <x v="0"/>
    <x v="3"/>
    <n v="3"/>
    <n v="11258"/>
    <n v="25"/>
    <n v="0.25"/>
    <n v="8443.5"/>
    <n v="25330.5"/>
    <n v="61"/>
    <n v="25391.5"/>
    <x v="3"/>
    <x v="0"/>
    <x v="2"/>
    <m/>
    <m/>
  </r>
  <r>
    <x v="4"/>
    <s v="TNCUST0207"/>
    <x v="4"/>
    <s v="Madurai"/>
    <x v="3"/>
    <s v="Female"/>
    <n v="20"/>
    <s v="46-55"/>
    <x v="3"/>
    <x v="4"/>
    <n v="2"/>
    <n v="1049"/>
    <n v="10"/>
    <n v="0.1"/>
    <n v="209.8"/>
    <n v="1888.2"/>
    <n v="218"/>
    <n v="2106.1999999999998"/>
    <x v="1"/>
    <x v="1"/>
    <x v="2"/>
    <m/>
    <m/>
  </r>
  <r>
    <x v="5"/>
    <s v="TNCUST0110"/>
    <x v="5"/>
    <s v="Tiruchirappalli"/>
    <x v="1"/>
    <s v="Other"/>
    <n v="55"/>
    <s v="46-55"/>
    <x v="3"/>
    <x v="5"/>
    <n v="2"/>
    <n v="1234"/>
    <n v="5"/>
    <n v="0.05"/>
    <n v="123.4"/>
    <n v="2344.6"/>
    <n v="157"/>
    <n v="2501.6"/>
    <x v="1"/>
    <x v="1"/>
    <x v="1"/>
    <n v="6"/>
    <m/>
  </r>
  <r>
    <x v="6"/>
    <s v="TNCUST0065"/>
    <x v="6"/>
    <s v="Madurai"/>
    <x v="3"/>
    <s v="Other"/>
    <n v="47"/>
    <s v="18-25"/>
    <x v="3"/>
    <x v="6"/>
    <n v="1"/>
    <n v="3394"/>
    <n v="15"/>
    <n v="0.15"/>
    <n v="509.1"/>
    <n v="2884.9"/>
    <n v="118"/>
    <n v="3002.9"/>
    <x v="4"/>
    <x v="0"/>
    <x v="0"/>
    <n v="5"/>
    <n v="4.5"/>
  </r>
  <r>
    <x v="7"/>
    <s v="TNCUST0130"/>
    <x v="5"/>
    <s v="Coimbatore"/>
    <x v="2"/>
    <s v="Male"/>
    <n v="29"/>
    <s v="36-45"/>
    <x v="1"/>
    <x v="1"/>
    <n v="3"/>
    <n v="4116"/>
    <n v="0"/>
    <n v="0"/>
    <n v="0"/>
    <n v="12348"/>
    <n v="244"/>
    <n v="12592"/>
    <x v="4"/>
    <x v="0"/>
    <x v="3"/>
    <m/>
    <m/>
  </r>
  <r>
    <x v="8"/>
    <s v="TNCUST0225"/>
    <x v="7"/>
    <s v="Thanjavur"/>
    <x v="4"/>
    <s v="Other"/>
    <n v="21"/>
    <s v="18-25"/>
    <x v="4"/>
    <x v="7"/>
    <n v="3"/>
    <n v="4818"/>
    <n v="15"/>
    <n v="0.15"/>
    <n v="2168.1"/>
    <n v="12285.9"/>
    <n v="112"/>
    <n v="12397.9"/>
    <x v="0"/>
    <x v="0"/>
    <x v="0"/>
    <n v="2"/>
    <n v="3.5"/>
  </r>
  <r>
    <x v="9"/>
    <s v="TNCUST0183"/>
    <x v="8"/>
    <s v="Vellore"/>
    <x v="5"/>
    <s v="Female"/>
    <n v="30"/>
    <s v="46-55"/>
    <x v="0"/>
    <x v="8"/>
    <n v="2"/>
    <n v="17628"/>
    <n v="20"/>
    <n v="0.2"/>
    <n v="7051.2"/>
    <n v="28204.799999999999"/>
    <n v="128"/>
    <n v="28332.799999999999"/>
    <x v="4"/>
    <x v="0"/>
    <x v="4"/>
    <m/>
    <m/>
  </r>
  <r>
    <x v="10"/>
    <s v="TNCUST0162"/>
    <x v="9"/>
    <s v="Tirunelveli"/>
    <x v="6"/>
    <s v="Male"/>
    <n v="22"/>
    <s v="26-35"/>
    <x v="2"/>
    <x v="9"/>
    <n v="4"/>
    <n v="342"/>
    <n v="20"/>
    <n v="0.2"/>
    <n v="273.60000000000002"/>
    <n v="1094.4000000000001"/>
    <n v="170"/>
    <n v="1264.4000000000001"/>
    <x v="0"/>
    <x v="1"/>
    <x v="0"/>
    <n v="1"/>
    <n v="5"/>
  </r>
  <r>
    <x v="11"/>
    <s v="TNCUST0201"/>
    <x v="10"/>
    <s v="Kanchipuram"/>
    <x v="7"/>
    <s v="Female"/>
    <n v="33"/>
    <s v="46-55"/>
    <x v="5"/>
    <x v="10"/>
    <n v="5"/>
    <n v="8253"/>
    <n v="25"/>
    <n v="0.25"/>
    <n v="10316.25"/>
    <n v="30948.75"/>
    <n v="166"/>
    <n v="31114.75"/>
    <x v="2"/>
    <x v="1"/>
    <x v="3"/>
    <m/>
    <m/>
  </r>
  <r>
    <x v="12"/>
    <s v="TNCUST0050"/>
    <x v="11"/>
    <s v="Coimbatore"/>
    <x v="2"/>
    <s v="Male"/>
    <n v="24"/>
    <s v="56+"/>
    <x v="1"/>
    <x v="11"/>
    <n v="3"/>
    <n v="5753"/>
    <n v="25"/>
    <n v="0.25"/>
    <n v="4314.75"/>
    <n v="12944.25"/>
    <n v="123"/>
    <n v="13067.25"/>
    <x v="5"/>
    <x v="1"/>
    <x v="0"/>
    <n v="7"/>
    <n v="3.5"/>
  </r>
  <r>
    <x v="13"/>
    <s v="TNCUST0043"/>
    <x v="12"/>
    <s v="Erode"/>
    <x v="8"/>
    <s v="Female"/>
    <n v="33"/>
    <s v="46-55"/>
    <x v="4"/>
    <x v="12"/>
    <n v="4"/>
    <n v="1017"/>
    <n v="25"/>
    <n v="0.25"/>
    <n v="1017"/>
    <n v="3051"/>
    <n v="234"/>
    <n v="3285"/>
    <x v="5"/>
    <x v="1"/>
    <x v="3"/>
    <m/>
    <m/>
  </r>
  <r>
    <x v="14"/>
    <s v="TNCUST0049"/>
    <x v="13"/>
    <s v="Kanchipuram"/>
    <x v="7"/>
    <s v="Female"/>
    <n v="49"/>
    <s v="26-35"/>
    <x v="2"/>
    <x v="2"/>
    <n v="2"/>
    <n v="1166"/>
    <n v="15"/>
    <n v="0.15"/>
    <n v="349.8"/>
    <n v="1982.2"/>
    <n v="198"/>
    <n v="2180.1999999999998"/>
    <x v="0"/>
    <x v="0"/>
    <x v="0"/>
    <n v="6"/>
    <n v="3.5"/>
  </r>
  <r>
    <x v="15"/>
    <s v="TNCUST0153"/>
    <x v="14"/>
    <s v="Hosur"/>
    <x v="9"/>
    <s v="Male"/>
    <n v="29"/>
    <s v="26-35"/>
    <x v="3"/>
    <x v="13"/>
    <n v="3"/>
    <n v="2209"/>
    <n v="20"/>
    <n v="0.2"/>
    <n v="1325.4"/>
    <n v="5301.6"/>
    <n v="150"/>
    <n v="5451.6"/>
    <x v="5"/>
    <x v="1"/>
    <x v="0"/>
    <n v="7"/>
    <n v="3"/>
  </r>
  <r>
    <x v="16"/>
    <s v="TNCUST0068"/>
    <x v="15"/>
    <s v="Karur"/>
    <x v="10"/>
    <s v="Female"/>
    <n v="38"/>
    <s v="26-35"/>
    <x v="3"/>
    <x v="4"/>
    <n v="5"/>
    <n v="2842"/>
    <n v="20"/>
    <n v="0.2"/>
    <n v="2842"/>
    <n v="11368"/>
    <n v="86"/>
    <n v="11454"/>
    <x v="4"/>
    <x v="0"/>
    <x v="0"/>
    <n v="6"/>
    <n v="3.5"/>
  </r>
  <r>
    <x v="17"/>
    <s v="TNCUST0073"/>
    <x v="16"/>
    <s v="Salem"/>
    <x v="11"/>
    <s v="Male"/>
    <n v="33"/>
    <s v="46-55"/>
    <x v="2"/>
    <x v="14"/>
    <n v="1"/>
    <n v="489"/>
    <n v="5"/>
    <n v="0.05"/>
    <n v="24.45"/>
    <n v="464.55"/>
    <n v="53"/>
    <n v="517.54999999999995"/>
    <x v="3"/>
    <x v="0"/>
    <x v="0"/>
    <n v="1"/>
    <n v="4"/>
  </r>
  <r>
    <x v="18"/>
    <s v="TNCUST0054"/>
    <x v="17"/>
    <s v="Salem"/>
    <x v="11"/>
    <s v="Other"/>
    <n v="56"/>
    <s v="36-45"/>
    <x v="3"/>
    <x v="15"/>
    <n v="1"/>
    <n v="1233"/>
    <n v="0"/>
    <n v="0"/>
    <n v="0"/>
    <n v="1233"/>
    <n v="59"/>
    <n v="1292"/>
    <x v="2"/>
    <x v="0"/>
    <x v="1"/>
    <n v="3"/>
    <m/>
  </r>
  <r>
    <x v="19"/>
    <s v="TNCUST0190"/>
    <x v="18"/>
    <s v="Dindigul"/>
    <x v="0"/>
    <s v="Female"/>
    <n v="34"/>
    <s v="56+"/>
    <x v="5"/>
    <x v="16"/>
    <n v="4"/>
    <n v="1812"/>
    <n v="0"/>
    <n v="0"/>
    <n v="0"/>
    <n v="7248"/>
    <n v="217"/>
    <n v="7465"/>
    <x v="4"/>
    <x v="2"/>
    <x v="0"/>
    <n v="6"/>
    <n v="3.5"/>
  </r>
  <r>
    <x v="20"/>
    <s v="TNCUST0054"/>
    <x v="7"/>
    <s v="Thoothukudi"/>
    <x v="12"/>
    <s v="Other"/>
    <n v="20"/>
    <s v="26-35"/>
    <x v="0"/>
    <x v="0"/>
    <n v="1"/>
    <n v="20336"/>
    <n v="5"/>
    <n v="0.05"/>
    <n v="1016.8"/>
    <n v="19319.2"/>
    <n v="30"/>
    <n v="19349.2"/>
    <x v="4"/>
    <x v="1"/>
    <x v="0"/>
    <n v="3"/>
    <n v="4"/>
  </r>
  <r>
    <x v="21"/>
    <s v="TNCUST0208"/>
    <x v="19"/>
    <s v="Tirunelveli"/>
    <x v="6"/>
    <s v="Male"/>
    <n v="60"/>
    <s v="36-45"/>
    <x v="3"/>
    <x v="6"/>
    <n v="5"/>
    <n v="3760"/>
    <n v="0"/>
    <n v="0"/>
    <n v="0"/>
    <n v="18800"/>
    <n v="105"/>
    <n v="18905"/>
    <x v="2"/>
    <x v="0"/>
    <x v="0"/>
    <n v="7"/>
    <n v="5"/>
  </r>
  <r>
    <x v="22"/>
    <s v="TNCUST0222"/>
    <x v="20"/>
    <s v="Coimbatore"/>
    <x v="2"/>
    <s v="Male"/>
    <n v="39"/>
    <s v="36-45"/>
    <x v="2"/>
    <x v="2"/>
    <n v="4"/>
    <n v="1512"/>
    <n v="5"/>
    <n v="0.05"/>
    <n v="302.39999999999998"/>
    <n v="5745.6"/>
    <n v="188"/>
    <n v="5933.6"/>
    <x v="1"/>
    <x v="0"/>
    <x v="0"/>
    <n v="4"/>
    <n v="4"/>
  </r>
  <r>
    <x v="23"/>
    <s v="TNCUST0156"/>
    <x v="21"/>
    <s v="Thoothukudi"/>
    <x v="12"/>
    <s v="Other"/>
    <n v="38"/>
    <s v="18-25"/>
    <x v="2"/>
    <x v="9"/>
    <n v="3"/>
    <n v="811"/>
    <n v="0"/>
    <n v="0"/>
    <n v="0"/>
    <n v="2433"/>
    <n v="131"/>
    <n v="2564"/>
    <x v="5"/>
    <x v="0"/>
    <x v="0"/>
    <n v="6"/>
    <n v="4"/>
  </r>
  <r>
    <x v="24"/>
    <s v="TNCUST0218"/>
    <x v="22"/>
    <s v="Tiruchirappalli"/>
    <x v="1"/>
    <s v="Male"/>
    <n v="60"/>
    <s v="36-45"/>
    <x v="5"/>
    <x v="10"/>
    <n v="4"/>
    <n v="9121"/>
    <n v="0"/>
    <n v="0"/>
    <n v="0"/>
    <n v="36484"/>
    <n v="104"/>
    <n v="36588"/>
    <x v="3"/>
    <x v="2"/>
    <x v="3"/>
    <m/>
    <m/>
  </r>
  <r>
    <x v="25"/>
    <s v="TNCUST0104"/>
    <x v="23"/>
    <s v="Dindigul"/>
    <x v="0"/>
    <s v="Other"/>
    <n v="37"/>
    <s v="18-25"/>
    <x v="2"/>
    <x v="14"/>
    <n v="4"/>
    <n v="865"/>
    <n v="15"/>
    <n v="0.15"/>
    <n v="519"/>
    <n v="2941"/>
    <n v="64"/>
    <n v="3005"/>
    <x v="1"/>
    <x v="2"/>
    <x v="1"/>
    <n v="5"/>
    <m/>
  </r>
  <r>
    <x v="26"/>
    <s v="TNCUST0132"/>
    <x v="24"/>
    <s v="Tiruchirappalli"/>
    <x v="1"/>
    <s v="Other"/>
    <n v="23"/>
    <s v="56+"/>
    <x v="2"/>
    <x v="9"/>
    <n v="5"/>
    <n v="1891"/>
    <n v="20"/>
    <n v="0.2"/>
    <n v="1891"/>
    <n v="7564"/>
    <n v="250"/>
    <n v="7814"/>
    <x v="1"/>
    <x v="1"/>
    <x v="0"/>
    <n v="6"/>
    <n v="4"/>
  </r>
  <r>
    <x v="27"/>
    <s v="TNCUST0148"/>
    <x v="25"/>
    <s v="Kanchipuram"/>
    <x v="7"/>
    <s v="Male"/>
    <n v="58"/>
    <s v="46-55"/>
    <x v="4"/>
    <x v="12"/>
    <n v="2"/>
    <n v="1607"/>
    <n v="20"/>
    <n v="0.2"/>
    <n v="642.79999999999995"/>
    <n v="2571.1999999999998"/>
    <n v="38"/>
    <n v="2609.1999999999998"/>
    <x v="5"/>
    <x v="2"/>
    <x v="2"/>
    <m/>
    <m/>
  </r>
  <r>
    <x v="28"/>
    <s v="TNCUST0171"/>
    <x v="26"/>
    <s v="Tiruchirappalli"/>
    <x v="1"/>
    <s v="Other"/>
    <n v="26"/>
    <s v="56+"/>
    <x v="4"/>
    <x v="17"/>
    <n v="1"/>
    <n v="2192"/>
    <n v="20"/>
    <n v="0.2"/>
    <n v="438.4"/>
    <n v="1753.6"/>
    <n v="237"/>
    <n v="1990.6"/>
    <x v="3"/>
    <x v="2"/>
    <x v="0"/>
    <n v="4"/>
    <n v="4"/>
  </r>
  <r>
    <x v="29"/>
    <s v="TNCUST0197"/>
    <x v="27"/>
    <s v="Nagercoil"/>
    <x v="13"/>
    <s v="Other"/>
    <n v="58"/>
    <s v="46-55"/>
    <x v="2"/>
    <x v="9"/>
    <n v="5"/>
    <n v="731"/>
    <n v="15"/>
    <n v="0.15"/>
    <n v="548.25"/>
    <n v="3106.75"/>
    <n v="212"/>
    <n v="3318.75"/>
    <x v="4"/>
    <x v="1"/>
    <x v="0"/>
    <n v="7"/>
    <n v="4"/>
  </r>
  <r>
    <x v="30"/>
    <s v="TNCUST0055"/>
    <x v="28"/>
    <s v="Salem"/>
    <x v="11"/>
    <s v="Male"/>
    <n v="27"/>
    <s v="46-55"/>
    <x v="2"/>
    <x v="2"/>
    <n v="3"/>
    <n v="1389"/>
    <n v="0"/>
    <n v="0"/>
    <n v="0"/>
    <n v="4167"/>
    <n v="79"/>
    <n v="4246"/>
    <x v="5"/>
    <x v="2"/>
    <x v="0"/>
    <n v="6"/>
    <n v="5"/>
  </r>
  <r>
    <x v="31"/>
    <s v="TNCUST0138"/>
    <x v="29"/>
    <s v="Thoothukudi"/>
    <x v="12"/>
    <s v="Other"/>
    <n v="42"/>
    <s v="56+"/>
    <x v="2"/>
    <x v="18"/>
    <n v="1"/>
    <n v="2472"/>
    <n v="20"/>
    <n v="0.2"/>
    <n v="494.4"/>
    <n v="1977.6"/>
    <n v="21"/>
    <n v="1998.6"/>
    <x v="3"/>
    <x v="1"/>
    <x v="0"/>
    <n v="3"/>
    <n v="4"/>
  </r>
  <r>
    <x v="32"/>
    <s v="TNCUST0137"/>
    <x v="30"/>
    <s v="Vellore"/>
    <x v="5"/>
    <s v="Male"/>
    <n v="57"/>
    <s v="46-55"/>
    <x v="4"/>
    <x v="12"/>
    <n v="4"/>
    <n v="637"/>
    <n v="15"/>
    <n v="0.15"/>
    <n v="382.2"/>
    <n v="2165.8000000000002"/>
    <n v="235"/>
    <n v="2400.8000000000002"/>
    <x v="3"/>
    <x v="0"/>
    <x v="1"/>
    <n v="2"/>
    <m/>
  </r>
  <r>
    <x v="33"/>
    <s v="TNCUST0193"/>
    <x v="31"/>
    <s v="Dindigul"/>
    <x v="0"/>
    <s v="Female"/>
    <n v="42"/>
    <s v="36-45"/>
    <x v="0"/>
    <x v="0"/>
    <n v="4"/>
    <n v="18586"/>
    <n v="10"/>
    <n v="0.1"/>
    <n v="7434.4"/>
    <n v="66909.600000000006"/>
    <n v="103"/>
    <n v="67012.600000000006"/>
    <x v="0"/>
    <x v="2"/>
    <x v="0"/>
    <n v="7"/>
    <n v="4"/>
  </r>
  <r>
    <x v="34"/>
    <s v="TNCUST0122"/>
    <x v="32"/>
    <s v="Chennai"/>
    <x v="14"/>
    <s v="Other"/>
    <n v="33"/>
    <s v="18-25"/>
    <x v="1"/>
    <x v="1"/>
    <n v="1"/>
    <n v="654"/>
    <n v="5"/>
    <n v="0.05"/>
    <n v="32.700000000000003"/>
    <n v="621.29999999999995"/>
    <n v="25"/>
    <n v="646.29999999999995"/>
    <x v="3"/>
    <x v="1"/>
    <x v="0"/>
    <n v="2"/>
    <n v="3.5"/>
  </r>
  <r>
    <x v="35"/>
    <s v="TNCUST0242"/>
    <x v="33"/>
    <s v="Vellore"/>
    <x v="5"/>
    <s v="Other"/>
    <n v="42"/>
    <s v="26-35"/>
    <x v="1"/>
    <x v="19"/>
    <n v="3"/>
    <n v="1285"/>
    <n v="20"/>
    <n v="0.2"/>
    <n v="771"/>
    <n v="3084"/>
    <n v="99"/>
    <n v="3183"/>
    <x v="0"/>
    <x v="0"/>
    <x v="0"/>
    <n v="6"/>
    <n v="4"/>
  </r>
  <r>
    <x v="36"/>
    <s v="TNCUST0088"/>
    <x v="3"/>
    <s v="Hosur"/>
    <x v="9"/>
    <s v="Male"/>
    <n v="50"/>
    <s v="46-55"/>
    <x v="1"/>
    <x v="20"/>
    <n v="1"/>
    <n v="736"/>
    <n v="10"/>
    <n v="0.1"/>
    <n v="73.599999999999994"/>
    <n v="662.4"/>
    <n v="189"/>
    <n v="851.4"/>
    <x v="5"/>
    <x v="1"/>
    <x v="0"/>
    <n v="1"/>
    <n v="5"/>
  </r>
  <r>
    <x v="37"/>
    <s v="TNCUST0069"/>
    <x v="34"/>
    <s v="Erode"/>
    <x v="8"/>
    <s v="Female"/>
    <n v="55"/>
    <s v="26-35"/>
    <x v="5"/>
    <x v="21"/>
    <n v="2"/>
    <n v="8848"/>
    <n v="20"/>
    <n v="0.2"/>
    <n v="3539.2"/>
    <n v="14156.8"/>
    <n v="139"/>
    <n v="14295.8"/>
    <x v="0"/>
    <x v="2"/>
    <x v="2"/>
    <m/>
    <m/>
  </r>
  <r>
    <x v="38"/>
    <s v="TNCUST0180"/>
    <x v="35"/>
    <s v="Karur"/>
    <x v="10"/>
    <s v="Female"/>
    <n v="35"/>
    <s v="56+"/>
    <x v="2"/>
    <x v="22"/>
    <n v="4"/>
    <n v="2104"/>
    <n v="5"/>
    <n v="0.05"/>
    <n v="420.8"/>
    <n v="7995.2"/>
    <n v="110"/>
    <n v="8105.2"/>
    <x v="0"/>
    <x v="0"/>
    <x v="0"/>
    <n v="3"/>
    <n v="4.5"/>
  </r>
  <r>
    <x v="39"/>
    <s v="TNCUST0178"/>
    <x v="36"/>
    <s v="Tiruchirappalli"/>
    <x v="1"/>
    <s v="Male"/>
    <n v="32"/>
    <s v="36-45"/>
    <x v="0"/>
    <x v="3"/>
    <n v="4"/>
    <n v="64838"/>
    <n v="15"/>
    <n v="0.15"/>
    <n v="38902.800000000003"/>
    <n v="220449.2"/>
    <n v="24"/>
    <n v="220473.2"/>
    <x v="4"/>
    <x v="0"/>
    <x v="0"/>
    <n v="3"/>
    <n v="4"/>
  </r>
  <r>
    <x v="40"/>
    <s v="TNCUST0031"/>
    <x v="37"/>
    <s v="Tirunelveli"/>
    <x v="6"/>
    <s v="Other"/>
    <n v="30"/>
    <s v="56+"/>
    <x v="2"/>
    <x v="9"/>
    <n v="5"/>
    <n v="1434"/>
    <n v="15"/>
    <n v="0.15"/>
    <n v="1075.5"/>
    <n v="6094.5"/>
    <n v="84"/>
    <n v="6178.5"/>
    <x v="4"/>
    <x v="1"/>
    <x v="0"/>
    <n v="1"/>
    <n v="4"/>
  </r>
  <r>
    <x v="41"/>
    <s v="TNCUST0071"/>
    <x v="38"/>
    <s v="Tiruchirappalli"/>
    <x v="1"/>
    <s v="Male"/>
    <n v="52"/>
    <s v="18-25"/>
    <x v="4"/>
    <x v="23"/>
    <n v="3"/>
    <n v="5288"/>
    <n v="10"/>
    <n v="0.1"/>
    <n v="1586.4"/>
    <n v="14277.6"/>
    <n v="65"/>
    <n v="14342.6"/>
    <x v="3"/>
    <x v="2"/>
    <x v="0"/>
    <n v="1"/>
    <n v="3.5"/>
  </r>
  <r>
    <x v="42"/>
    <s v="TNCUST0211"/>
    <x v="39"/>
    <s v="Hosur"/>
    <x v="9"/>
    <s v="Male"/>
    <n v="48"/>
    <s v="46-55"/>
    <x v="4"/>
    <x v="23"/>
    <n v="1"/>
    <n v="5102"/>
    <n v="10"/>
    <n v="0.1"/>
    <n v="510.2"/>
    <n v="4591.8"/>
    <n v="33"/>
    <n v="4624.8"/>
    <x v="5"/>
    <x v="1"/>
    <x v="0"/>
    <n v="7"/>
    <n v="3"/>
  </r>
  <r>
    <x v="43"/>
    <s v="TNCUST0058"/>
    <x v="40"/>
    <s v="Thanjavur"/>
    <x v="4"/>
    <s v="Other"/>
    <n v="57"/>
    <s v="46-55"/>
    <x v="1"/>
    <x v="24"/>
    <n v="2"/>
    <n v="1370"/>
    <n v="20"/>
    <n v="0.2"/>
    <n v="548"/>
    <n v="2192"/>
    <n v="175"/>
    <n v="2367"/>
    <x v="5"/>
    <x v="2"/>
    <x v="2"/>
    <m/>
    <m/>
  </r>
  <r>
    <x v="44"/>
    <s v="TNCUST0020"/>
    <x v="41"/>
    <s v="Salem"/>
    <x v="11"/>
    <s v="Male"/>
    <n v="53"/>
    <s v="18-25"/>
    <x v="3"/>
    <x v="6"/>
    <n v="3"/>
    <n v="2712"/>
    <n v="10"/>
    <n v="0.1"/>
    <n v="813.6"/>
    <n v="7322.4"/>
    <n v="60"/>
    <n v="7382.4"/>
    <x v="5"/>
    <x v="2"/>
    <x v="1"/>
    <n v="2"/>
    <m/>
  </r>
  <r>
    <x v="45"/>
    <s v="TNCUST0170"/>
    <x v="42"/>
    <s v="Hosur"/>
    <x v="9"/>
    <s v="Male"/>
    <n v="58"/>
    <s v="46-55"/>
    <x v="3"/>
    <x v="6"/>
    <n v="3"/>
    <n v="3029"/>
    <n v="15"/>
    <n v="0.15"/>
    <n v="1363.05"/>
    <n v="7723.95"/>
    <n v="79"/>
    <n v="7802.95"/>
    <x v="0"/>
    <x v="0"/>
    <x v="0"/>
    <n v="7"/>
    <n v="4.5"/>
  </r>
  <r>
    <x v="46"/>
    <s v="TNCUST0120"/>
    <x v="43"/>
    <s v="Tiruchirappalli"/>
    <x v="1"/>
    <s v="Other"/>
    <n v="25"/>
    <s v="36-45"/>
    <x v="1"/>
    <x v="20"/>
    <n v="3"/>
    <n v="2919"/>
    <n v="20"/>
    <n v="0.2"/>
    <n v="1751.4"/>
    <n v="7005.6"/>
    <n v="165"/>
    <n v="7170.6"/>
    <x v="4"/>
    <x v="2"/>
    <x v="1"/>
    <n v="4"/>
    <m/>
  </r>
  <r>
    <x v="47"/>
    <s v="TNCUST0244"/>
    <x v="44"/>
    <s v="Salem"/>
    <x v="11"/>
    <s v="Male"/>
    <n v="54"/>
    <s v="36-45"/>
    <x v="3"/>
    <x v="15"/>
    <n v="4"/>
    <n v="3158"/>
    <n v="20"/>
    <n v="0.2"/>
    <n v="2526.4"/>
    <n v="10105.6"/>
    <n v="43"/>
    <n v="10148.6"/>
    <x v="3"/>
    <x v="1"/>
    <x v="0"/>
    <n v="6"/>
    <n v="4.5"/>
  </r>
  <r>
    <x v="48"/>
    <s v="TNCUST0083"/>
    <x v="16"/>
    <s v="Nagercoil"/>
    <x v="13"/>
    <s v="Other"/>
    <n v="39"/>
    <s v="18-25"/>
    <x v="4"/>
    <x v="23"/>
    <n v="5"/>
    <n v="2678"/>
    <n v="15"/>
    <n v="0.15"/>
    <n v="2008.5"/>
    <n v="11381.5"/>
    <n v="140"/>
    <n v="11521.5"/>
    <x v="2"/>
    <x v="2"/>
    <x v="3"/>
    <m/>
    <m/>
  </r>
  <r>
    <x v="49"/>
    <s v="TNCUST0169"/>
    <x v="45"/>
    <s v="Erode"/>
    <x v="8"/>
    <s v="Other"/>
    <n v="50"/>
    <s v="46-55"/>
    <x v="1"/>
    <x v="11"/>
    <n v="3"/>
    <n v="2976"/>
    <n v="10"/>
    <n v="0.1"/>
    <n v="892.8"/>
    <n v="8035.2"/>
    <n v="217"/>
    <n v="8252.2000000000007"/>
    <x v="5"/>
    <x v="1"/>
    <x v="0"/>
    <n v="7"/>
    <n v="3"/>
  </r>
  <r>
    <x v="50"/>
    <s v="TNCUST0008"/>
    <x v="46"/>
    <s v="Tiruchirappalli"/>
    <x v="1"/>
    <s v="Other"/>
    <n v="49"/>
    <s v="56+"/>
    <x v="3"/>
    <x v="5"/>
    <n v="5"/>
    <n v="983"/>
    <n v="20"/>
    <n v="0.2"/>
    <n v="983"/>
    <n v="3932"/>
    <n v="93"/>
    <n v="4025"/>
    <x v="2"/>
    <x v="0"/>
    <x v="0"/>
    <n v="6"/>
    <n v="3"/>
  </r>
  <r>
    <x v="51"/>
    <s v="TNCUST0239"/>
    <x v="47"/>
    <s v="Madurai"/>
    <x v="3"/>
    <s v="Other"/>
    <n v="27"/>
    <s v="36-45"/>
    <x v="5"/>
    <x v="16"/>
    <n v="1"/>
    <n v="1827"/>
    <n v="0"/>
    <n v="0"/>
    <n v="0"/>
    <n v="1827"/>
    <n v="50"/>
    <n v="1877"/>
    <x v="3"/>
    <x v="0"/>
    <x v="0"/>
    <n v="7"/>
    <n v="4"/>
  </r>
  <r>
    <x v="52"/>
    <s v="TNCUST0198"/>
    <x v="48"/>
    <s v="Salem"/>
    <x v="11"/>
    <s v="Female"/>
    <n v="22"/>
    <s v="36-45"/>
    <x v="2"/>
    <x v="18"/>
    <n v="4"/>
    <n v="672"/>
    <n v="20"/>
    <n v="0.2"/>
    <n v="537.6"/>
    <n v="2150.4"/>
    <n v="245"/>
    <n v="2395.4"/>
    <x v="3"/>
    <x v="2"/>
    <x v="0"/>
    <n v="7"/>
    <n v="4"/>
  </r>
  <r>
    <x v="53"/>
    <s v="TNCUST0179"/>
    <x v="49"/>
    <s v="Kanchipuram"/>
    <x v="7"/>
    <s v="Male"/>
    <n v="38"/>
    <s v="56+"/>
    <x v="0"/>
    <x v="25"/>
    <n v="3"/>
    <n v="64978"/>
    <n v="10"/>
    <n v="0.1"/>
    <n v="19493.400000000001"/>
    <n v="175440.6"/>
    <n v="159"/>
    <n v="175599.6"/>
    <x v="5"/>
    <x v="1"/>
    <x v="0"/>
    <n v="4"/>
    <n v="3.5"/>
  </r>
  <r>
    <x v="54"/>
    <s v="TNCUST0026"/>
    <x v="50"/>
    <s v="Kanchipuram"/>
    <x v="7"/>
    <s v="Other"/>
    <n v="24"/>
    <s v="46-55"/>
    <x v="2"/>
    <x v="2"/>
    <n v="3"/>
    <n v="703"/>
    <n v="5"/>
    <n v="0.05"/>
    <n v="105.45"/>
    <n v="2003.55"/>
    <n v="171"/>
    <n v="2174.5500000000002"/>
    <x v="0"/>
    <x v="0"/>
    <x v="0"/>
    <n v="7"/>
    <n v="4"/>
  </r>
  <r>
    <x v="55"/>
    <s v="TNCUST0161"/>
    <x v="51"/>
    <s v="Madurai"/>
    <x v="3"/>
    <s v="Other"/>
    <n v="38"/>
    <s v="46-55"/>
    <x v="2"/>
    <x v="22"/>
    <n v="1"/>
    <n v="1708"/>
    <n v="10"/>
    <n v="0.1"/>
    <n v="170.8"/>
    <n v="1537.2"/>
    <n v="239"/>
    <n v="1776.2"/>
    <x v="3"/>
    <x v="1"/>
    <x v="2"/>
    <m/>
    <m/>
  </r>
  <r>
    <x v="56"/>
    <s v="TNCUST0232"/>
    <x v="52"/>
    <s v="Thanjavur"/>
    <x v="4"/>
    <s v="Male"/>
    <n v="37"/>
    <s v="18-25"/>
    <x v="0"/>
    <x v="3"/>
    <n v="3"/>
    <n v="30617"/>
    <n v="25"/>
    <n v="0.25"/>
    <n v="22962.75"/>
    <n v="68888.25"/>
    <n v="133"/>
    <n v="69021.25"/>
    <x v="1"/>
    <x v="1"/>
    <x v="4"/>
    <m/>
    <m/>
  </r>
  <r>
    <x v="57"/>
    <s v="TNCUST0175"/>
    <x v="53"/>
    <s v="Salem"/>
    <x v="11"/>
    <s v="Male"/>
    <n v="42"/>
    <s v="46-55"/>
    <x v="5"/>
    <x v="26"/>
    <n v="4"/>
    <n v="9002"/>
    <n v="5"/>
    <n v="0.05"/>
    <n v="1800.4"/>
    <n v="34207.599999999999"/>
    <n v="40"/>
    <n v="34247.599999999999"/>
    <x v="3"/>
    <x v="1"/>
    <x v="0"/>
    <n v="7"/>
    <n v="4.5"/>
  </r>
  <r>
    <x v="58"/>
    <s v="TNCUST0164"/>
    <x v="54"/>
    <s v="Tiruchirappalli"/>
    <x v="1"/>
    <s v="Female"/>
    <n v="55"/>
    <s v="36-45"/>
    <x v="2"/>
    <x v="14"/>
    <n v="4"/>
    <n v="1985"/>
    <n v="25"/>
    <n v="0.25"/>
    <n v="1985"/>
    <n v="5955"/>
    <n v="38"/>
    <n v="5993"/>
    <x v="5"/>
    <x v="2"/>
    <x v="0"/>
    <n v="3"/>
    <n v="4"/>
  </r>
  <r>
    <x v="59"/>
    <s v="TNCUST0145"/>
    <x v="55"/>
    <s v="Tiruchirappalli"/>
    <x v="1"/>
    <s v="Other"/>
    <n v="35"/>
    <s v="18-25"/>
    <x v="2"/>
    <x v="18"/>
    <n v="1"/>
    <n v="1550"/>
    <n v="25"/>
    <n v="0.25"/>
    <n v="387.5"/>
    <n v="1162.5"/>
    <n v="232"/>
    <n v="1394.5"/>
    <x v="3"/>
    <x v="0"/>
    <x v="0"/>
    <n v="4"/>
    <n v="3"/>
  </r>
  <r>
    <x v="60"/>
    <s v="TNCUST0232"/>
    <x v="56"/>
    <s v="Vellore"/>
    <x v="5"/>
    <s v="Other"/>
    <n v="24"/>
    <s v="18-25"/>
    <x v="5"/>
    <x v="27"/>
    <n v="5"/>
    <n v="3415"/>
    <n v="25"/>
    <n v="0.25"/>
    <n v="4268.75"/>
    <n v="12806.25"/>
    <n v="194"/>
    <n v="13000.25"/>
    <x v="1"/>
    <x v="2"/>
    <x v="2"/>
    <m/>
    <m/>
  </r>
  <r>
    <x v="61"/>
    <s v="TNCUST0234"/>
    <x v="57"/>
    <s v="Chennai"/>
    <x v="14"/>
    <s v="Female"/>
    <n v="50"/>
    <s v="26-35"/>
    <x v="3"/>
    <x v="5"/>
    <n v="2"/>
    <n v="869"/>
    <n v="5"/>
    <n v="0.05"/>
    <n v="86.9"/>
    <n v="1651.1"/>
    <n v="244"/>
    <n v="1895.1"/>
    <x v="1"/>
    <x v="2"/>
    <x v="2"/>
    <m/>
    <m/>
  </r>
  <r>
    <x v="62"/>
    <s v="TNCUST0203"/>
    <x v="58"/>
    <s v="Nagercoil"/>
    <x v="13"/>
    <s v="Female"/>
    <n v="23"/>
    <s v="18-25"/>
    <x v="5"/>
    <x v="26"/>
    <n v="1"/>
    <n v="2606"/>
    <n v="25"/>
    <n v="0.25"/>
    <n v="651.5"/>
    <n v="1954.5"/>
    <n v="121"/>
    <n v="2075.5"/>
    <x v="1"/>
    <x v="0"/>
    <x v="1"/>
    <n v="3"/>
    <m/>
  </r>
  <r>
    <x v="63"/>
    <s v="TNCUST0166"/>
    <x v="59"/>
    <s v="Coimbatore"/>
    <x v="2"/>
    <s v="Male"/>
    <n v="57"/>
    <s v="46-55"/>
    <x v="2"/>
    <x v="14"/>
    <n v="3"/>
    <n v="523"/>
    <n v="15"/>
    <n v="0.15"/>
    <n v="235.35"/>
    <n v="1333.65"/>
    <n v="246"/>
    <n v="1579.65"/>
    <x v="4"/>
    <x v="2"/>
    <x v="0"/>
    <n v="3"/>
    <n v="3.5"/>
  </r>
  <r>
    <x v="64"/>
    <s v="TNCUST0172"/>
    <x v="60"/>
    <s v="Dindigul"/>
    <x v="0"/>
    <s v="Other"/>
    <n v="41"/>
    <s v="56+"/>
    <x v="2"/>
    <x v="2"/>
    <n v="2"/>
    <n v="2097"/>
    <n v="5"/>
    <n v="0.05"/>
    <n v="209.7"/>
    <n v="3984.3"/>
    <n v="54"/>
    <n v="4038.3"/>
    <x v="5"/>
    <x v="0"/>
    <x v="4"/>
    <m/>
    <m/>
  </r>
  <r>
    <x v="65"/>
    <s v="TNCUST0176"/>
    <x v="61"/>
    <s v="Hosur"/>
    <x v="9"/>
    <s v="Female"/>
    <n v="41"/>
    <s v="56+"/>
    <x v="1"/>
    <x v="20"/>
    <n v="4"/>
    <n v="6054"/>
    <n v="10"/>
    <n v="0.1"/>
    <n v="2421.6"/>
    <n v="21794.400000000001"/>
    <n v="133"/>
    <n v="21927.4"/>
    <x v="4"/>
    <x v="2"/>
    <x v="0"/>
    <n v="7"/>
    <n v="3"/>
  </r>
  <r>
    <x v="66"/>
    <s v="TNCUST0202"/>
    <x v="62"/>
    <s v="Chennai"/>
    <x v="14"/>
    <s v="Other"/>
    <n v="26"/>
    <s v="26-35"/>
    <x v="2"/>
    <x v="14"/>
    <n v="2"/>
    <n v="948"/>
    <n v="20"/>
    <n v="0.2"/>
    <n v="379.2"/>
    <n v="1516.8"/>
    <n v="32"/>
    <n v="1548.8"/>
    <x v="0"/>
    <x v="0"/>
    <x v="3"/>
    <m/>
    <m/>
  </r>
  <r>
    <x v="67"/>
    <s v="TNCUST0034"/>
    <x v="63"/>
    <s v="Tiruchirappalli"/>
    <x v="1"/>
    <s v="Male"/>
    <n v="60"/>
    <s v="36-45"/>
    <x v="3"/>
    <x v="4"/>
    <n v="2"/>
    <n v="3666"/>
    <n v="5"/>
    <n v="0.05"/>
    <n v="366.6"/>
    <n v="6965.4"/>
    <n v="224"/>
    <n v="7189.4"/>
    <x v="2"/>
    <x v="0"/>
    <x v="0"/>
    <n v="1"/>
    <n v="3"/>
  </r>
  <r>
    <x v="68"/>
    <s v="TNCUST0116"/>
    <x v="64"/>
    <s v="Tirunelveli"/>
    <x v="6"/>
    <s v="Other"/>
    <n v="55"/>
    <s v="26-35"/>
    <x v="0"/>
    <x v="3"/>
    <n v="3"/>
    <n v="7668"/>
    <n v="0"/>
    <n v="0"/>
    <n v="0"/>
    <n v="23004"/>
    <n v="219"/>
    <n v="23223"/>
    <x v="3"/>
    <x v="1"/>
    <x v="0"/>
    <n v="5"/>
    <n v="3"/>
  </r>
  <r>
    <x v="69"/>
    <s v="TNCUST0231"/>
    <x v="65"/>
    <s v="Hosur"/>
    <x v="9"/>
    <s v="Male"/>
    <n v="46"/>
    <s v="36-45"/>
    <x v="1"/>
    <x v="1"/>
    <n v="3"/>
    <n v="7341"/>
    <n v="15"/>
    <n v="0.15"/>
    <n v="3303.45"/>
    <n v="18719.55"/>
    <n v="47"/>
    <n v="18766.55"/>
    <x v="3"/>
    <x v="1"/>
    <x v="0"/>
    <n v="6"/>
    <n v="3"/>
  </r>
  <r>
    <x v="70"/>
    <s v="TNCUST0225"/>
    <x v="66"/>
    <s v="Coimbatore"/>
    <x v="2"/>
    <s v="Other"/>
    <n v="59"/>
    <s v="26-35"/>
    <x v="4"/>
    <x v="12"/>
    <n v="5"/>
    <n v="3063"/>
    <n v="20"/>
    <n v="0.2"/>
    <n v="3063"/>
    <n v="12252"/>
    <n v="45"/>
    <n v="12297"/>
    <x v="5"/>
    <x v="2"/>
    <x v="0"/>
    <n v="1"/>
    <n v="5"/>
  </r>
  <r>
    <x v="71"/>
    <s v="TNCUST0018"/>
    <x v="67"/>
    <s v="Karur"/>
    <x v="10"/>
    <s v="Male"/>
    <n v="48"/>
    <s v="18-25"/>
    <x v="4"/>
    <x v="23"/>
    <n v="3"/>
    <n v="3666"/>
    <n v="10"/>
    <n v="0.1"/>
    <n v="1099.8"/>
    <n v="9898.2000000000007"/>
    <n v="115"/>
    <n v="10013.200000000001"/>
    <x v="0"/>
    <x v="2"/>
    <x v="1"/>
    <n v="6"/>
    <m/>
  </r>
  <r>
    <x v="72"/>
    <s v="TNCUST0014"/>
    <x v="68"/>
    <s v="Coimbatore"/>
    <x v="2"/>
    <s v="Female"/>
    <n v="45"/>
    <s v="56+"/>
    <x v="1"/>
    <x v="19"/>
    <n v="2"/>
    <n v="3100"/>
    <n v="25"/>
    <n v="0.25"/>
    <n v="1550"/>
    <n v="4650"/>
    <n v="110"/>
    <n v="4760"/>
    <x v="1"/>
    <x v="2"/>
    <x v="0"/>
    <n v="7"/>
    <n v="5"/>
  </r>
  <r>
    <x v="73"/>
    <s v="TNCUST0147"/>
    <x v="69"/>
    <s v="Coimbatore"/>
    <x v="2"/>
    <s v="Male"/>
    <n v="35"/>
    <s v="46-55"/>
    <x v="3"/>
    <x v="15"/>
    <n v="2"/>
    <n v="3620"/>
    <n v="10"/>
    <n v="0.1"/>
    <n v="724"/>
    <n v="6516"/>
    <n v="114"/>
    <n v="6630"/>
    <x v="3"/>
    <x v="0"/>
    <x v="2"/>
    <m/>
    <m/>
  </r>
  <r>
    <x v="74"/>
    <s v="TNCUST0145"/>
    <x v="70"/>
    <s v="Thanjavur"/>
    <x v="4"/>
    <s v="Other"/>
    <n v="27"/>
    <s v="46-55"/>
    <x v="1"/>
    <x v="1"/>
    <n v="1"/>
    <n v="6645"/>
    <n v="10"/>
    <n v="0.1"/>
    <n v="664.5"/>
    <n v="5980.5"/>
    <n v="109"/>
    <n v="6089.5"/>
    <x v="0"/>
    <x v="1"/>
    <x v="4"/>
    <m/>
    <m/>
  </r>
  <r>
    <x v="75"/>
    <s v="TNCUST0022"/>
    <x v="71"/>
    <s v="Hosur"/>
    <x v="9"/>
    <s v="Male"/>
    <n v="54"/>
    <s v="26-35"/>
    <x v="1"/>
    <x v="24"/>
    <n v="1"/>
    <n v="3192"/>
    <n v="5"/>
    <n v="0.05"/>
    <n v="159.6"/>
    <n v="3032.4"/>
    <n v="204"/>
    <n v="3236.4"/>
    <x v="2"/>
    <x v="0"/>
    <x v="0"/>
    <n v="7"/>
    <n v="4.5"/>
  </r>
  <r>
    <x v="76"/>
    <s v="TNCUST0029"/>
    <x v="72"/>
    <s v="Chennai"/>
    <x v="14"/>
    <s v="Female"/>
    <n v="40"/>
    <s v="56+"/>
    <x v="1"/>
    <x v="24"/>
    <n v="3"/>
    <n v="4021"/>
    <n v="15"/>
    <n v="0.15"/>
    <n v="1809.45"/>
    <n v="10253.549999999999"/>
    <n v="213"/>
    <n v="10466.549999999999"/>
    <x v="5"/>
    <x v="0"/>
    <x v="0"/>
    <n v="1"/>
    <n v="4"/>
  </r>
  <r>
    <x v="77"/>
    <s v="TNCUST0031"/>
    <x v="73"/>
    <s v="Dindigul"/>
    <x v="0"/>
    <s v="Male"/>
    <n v="38"/>
    <s v="46-55"/>
    <x v="5"/>
    <x v="10"/>
    <n v="2"/>
    <n v="1197"/>
    <n v="5"/>
    <n v="0.05"/>
    <n v="119.7"/>
    <n v="2274.3000000000002"/>
    <n v="215"/>
    <n v="2489.3000000000002"/>
    <x v="4"/>
    <x v="2"/>
    <x v="2"/>
    <m/>
    <m/>
  </r>
  <r>
    <x v="78"/>
    <s v="TNCUST0110"/>
    <x v="74"/>
    <s v="Madurai"/>
    <x v="3"/>
    <s v="Other"/>
    <n v="38"/>
    <s v="46-55"/>
    <x v="4"/>
    <x v="23"/>
    <n v="5"/>
    <n v="4498"/>
    <n v="25"/>
    <n v="0.25"/>
    <n v="5622.5"/>
    <n v="16867.5"/>
    <n v="24"/>
    <n v="16891.5"/>
    <x v="4"/>
    <x v="0"/>
    <x v="0"/>
    <n v="1"/>
    <n v="4.5"/>
  </r>
  <r>
    <x v="79"/>
    <s v="TNCUST0103"/>
    <x v="75"/>
    <s v="Erode"/>
    <x v="8"/>
    <s v="Other"/>
    <n v="45"/>
    <s v="18-25"/>
    <x v="5"/>
    <x v="10"/>
    <n v="4"/>
    <n v="3115"/>
    <n v="10"/>
    <n v="0.1"/>
    <n v="1246"/>
    <n v="11214"/>
    <n v="236"/>
    <n v="11450"/>
    <x v="5"/>
    <x v="2"/>
    <x v="0"/>
    <n v="2"/>
    <n v="4.5"/>
  </r>
  <r>
    <x v="80"/>
    <s v="TNCUST0209"/>
    <x v="76"/>
    <s v="Hosur"/>
    <x v="9"/>
    <s v="Male"/>
    <n v="59"/>
    <s v="26-35"/>
    <x v="5"/>
    <x v="27"/>
    <n v="3"/>
    <n v="8663"/>
    <n v="5"/>
    <n v="0.05"/>
    <n v="1299.45"/>
    <n v="24689.55"/>
    <n v="109"/>
    <n v="24798.55"/>
    <x v="0"/>
    <x v="1"/>
    <x v="4"/>
    <m/>
    <m/>
  </r>
  <r>
    <x v="81"/>
    <s v="TNCUST0163"/>
    <x v="77"/>
    <s v="Salem"/>
    <x v="11"/>
    <s v="Other"/>
    <n v="54"/>
    <s v="36-45"/>
    <x v="4"/>
    <x v="7"/>
    <n v="5"/>
    <n v="5769"/>
    <n v="15"/>
    <n v="0.15"/>
    <n v="4326.75"/>
    <n v="24518.25"/>
    <n v="164"/>
    <n v="24682.25"/>
    <x v="4"/>
    <x v="2"/>
    <x v="0"/>
    <n v="4"/>
    <n v="5"/>
  </r>
  <r>
    <x v="82"/>
    <s v="TNCUST0095"/>
    <x v="78"/>
    <s v="Madurai"/>
    <x v="3"/>
    <s v="Female"/>
    <n v="20"/>
    <s v="18-25"/>
    <x v="2"/>
    <x v="2"/>
    <n v="4"/>
    <n v="1205"/>
    <n v="10"/>
    <n v="0.1"/>
    <n v="482"/>
    <n v="4338"/>
    <n v="99"/>
    <n v="4437"/>
    <x v="4"/>
    <x v="1"/>
    <x v="0"/>
    <n v="4"/>
    <n v="3"/>
  </r>
  <r>
    <x v="83"/>
    <s v="TNCUST0039"/>
    <x v="79"/>
    <s v="Thanjavur"/>
    <x v="4"/>
    <s v="Male"/>
    <n v="50"/>
    <s v="46-55"/>
    <x v="3"/>
    <x v="15"/>
    <n v="4"/>
    <n v="1992"/>
    <n v="20"/>
    <n v="0.2"/>
    <n v="1593.6"/>
    <n v="6374.4"/>
    <n v="102"/>
    <n v="6476.4"/>
    <x v="0"/>
    <x v="2"/>
    <x v="1"/>
    <n v="4"/>
    <m/>
  </r>
  <r>
    <x v="84"/>
    <s v="TNCUST0174"/>
    <x v="80"/>
    <s v="Hosur"/>
    <x v="9"/>
    <s v="Other"/>
    <n v="44"/>
    <s v="18-25"/>
    <x v="0"/>
    <x v="8"/>
    <n v="2"/>
    <n v="5930"/>
    <n v="20"/>
    <n v="0.2"/>
    <n v="2372"/>
    <n v="9488"/>
    <n v="115"/>
    <n v="9603"/>
    <x v="4"/>
    <x v="0"/>
    <x v="0"/>
    <n v="4"/>
    <n v="4"/>
  </r>
  <r>
    <x v="85"/>
    <s v="TNCUST0150"/>
    <x v="81"/>
    <s v="Tirunelveli"/>
    <x v="6"/>
    <s v="Other"/>
    <n v="23"/>
    <s v="26-35"/>
    <x v="0"/>
    <x v="25"/>
    <n v="1"/>
    <n v="73933"/>
    <n v="25"/>
    <n v="0.25"/>
    <n v="18483.25"/>
    <n v="55449.75"/>
    <n v="174"/>
    <n v="55623.75"/>
    <x v="1"/>
    <x v="2"/>
    <x v="3"/>
    <m/>
    <m/>
  </r>
  <r>
    <x v="86"/>
    <s v="TNCUST0024"/>
    <x v="66"/>
    <s v="Dindigul"/>
    <x v="0"/>
    <s v="Other"/>
    <n v="51"/>
    <s v="46-55"/>
    <x v="1"/>
    <x v="11"/>
    <n v="2"/>
    <n v="6885"/>
    <n v="10"/>
    <n v="0.1"/>
    <n v="1377"/>
    <n v="12393"/>
    <n v="191"/>
    <n v="12584"/>
    <x v="3"/>
    <x v="2"/>
    <x v="2"/>
    <m/>
    <m/>
  </r>
  <r>
    <x v="87"/>
    <s v="TNCUST0227"/>
    <x v="82"/>
    <s v="Chennai"/>
    <x v="14"/>
    <s v="Other"/>
    <n v="52"/>
    <s v="18-25"/>
    <x v="5"/>
    <x v="26"/>
    <n v="2"/>
    <n v="8267"/>
    <n v="5"/>
    <n v="0.05"/>
    <n v="826.7"/>
    <n v="15707.3"/>
    <n v="236"/>
    <n v="15943.3"/>
    <x v="4"/>
    <x v="2"/>
    <x v="0"/>
    <n v="5"/>
    <n v="5"/>
  </r>
  <r>
    <x v="88"/>
    <s v="TNCUST0094"/>
    <x v="46"/>
    <s v="Karur"/>
    <x v="10"/>
    <s v="Other"/>
    <n v="44"/>
    <s v="26-35"/>
    <x v="3"/>
    <x v="4"/>
    <n v="5"/>
    <n v="3555"/>
    <n v="20"/>
    <n v="0.2"/>
    <n v="3555"/>
    <n v="14220"/>
    <n v="62"/>
    <n v="14282"/>
    <x v="5"/>
    <x v="0"/>
    <x v="2"/>
    <m/>
    <m/>
  </r>
  <r>
    <x v="89"/>
    <s v="TNCUST0129"/>
    <x v="83"/>
    <s v="Salem"/>
    <x v="11"/>
    <s v="Other"/>
    <n v="36"/>
    <s v="46-55"/>
    <x v="1"/>
    <x v="11"/>
    <n v="2"/>
    <n v="7241"/>
    <n v="5"/>
    <n v="0.05"/>
    <n v="724.1"/>
    <n v="13757.9"/>
    <n v="166"/>
    <n v="13923.9"/>
    <x v="2"/>
    <x v="1"/>
    <x v="0"/>
    <n v="4"/>
    <n v="4"/>
  </r>
  <r>
    <x v="90"/>
    <s v="TNCUST0196"/>
    <x v="84"/>
    <s v="Nagercoil"/>
    <x v="13"/>
    <s v="Male"/>
    <n v="23"/>
    <s v="36-45"/>
    <x v="3"/>
    <x v="4"/>
    <n v="3"/>
    <n v="2421"/>
    <n v="25"/>
    <n v="0.25"/>
    <n v="1815.75"/>
    <n v="5447.25"/>
    <n v="237"/>
    <n v="5684.25"/>
    <x v="5"/>
    <x v="0"/>
    <x v="2"/>
    <m/>
    <m/>
  </r>
  <r>
    <x v="91"/>
    <s v="TNCUST0082"/>
    <x v="14"/>
    <s v="Madurai"/>
    <x v="3"/>
    <s v="Male"/>
    <n v="32"/>
    <s v="36-45"/>
    <x v="2"/>
    <x v="2"/>
    <n v="2"/>
    <n v="1779"/>
    <n v="20"/>
    <n v="0.2"/>
    <n v="711.6"/>
    <n v="2846.4"/>
    <n v="118"/>
    <n v="2964.4"/>
    <x v="2"/>
    <x v="1"/>
    <x v="0"/>
    <n v="3"/>
    <n v="3"/>
  </r>
  <r>
    <x v="92"/>
    <s v="TNCUST0029"/>
    <x v="85"/>
    <s v="Chennai"/>
    <x v="14"/>
    <s v="Female"/>
    <n v="45"/>
    <s v="26-35"/>
    <x v="5"/>
    <x v="21"/>
    <n v="2"/>
    <n v="386"/>
    <n v="5"/>
    <n v="0.05"/>
    <n v="38.6"/>
    <n v="733.4"/>
    <n v="160"/>
    <n v="893.4"/>
    <x v="1"/>
    <x v="1"/>
    <x v="2"/>
    <m/>
    <m/>
  </r>
  <r>
    <x v="93"/>
    <s v="TNCUST0075"/>
    <x v="86"/>
    <s v="Chennai"/>
    <x v="14"/>
    <s v="Female"/>
    <n v="27"/>
    <s v="18-25"/>
    <x v="4"/>
    <x v="23"/>
    <n v="5"/>
    <n v="914"/>
    <n v="0"/>
    <n v="0"/>
    <n v="0"/>
    <n v="4570"/>
    <n v="167"/>
    <n v="4737"/>
    <x v="3"/>
    <x v="2"/>
    <x v="1"/>
    <n v="6"/>
    <m/>
  </r>
  <r>
    <x v="94"/>
    <s v="TNCUST0224"/>
    <x v="87"/>
    <s v="Tiruchirappalli"/>
    <x v="1"/>
    <s v="Female"/>
    <n v="42"/>
    <s v="18-25"/>
    <x v="3"/>
    <x v="6"/>
    <n v="2"/>
    <n v="2304"/>
    <n v="20"/>
    <n v="0.2"/>
    <n v="921.6"/>
    <n v="3686.4"/>
    <n v="149"/>
    <n v="3835.4"/>
    <x v="4"/>
    <x v="2"/>
    <x v="2"/>
    <m/>
    <m/>
  </r>
  <r>
    <x v="95"/>
    <s v="TNCUST0087"/>
    <x v="88"/>
    <s v="Tirunelveli"/>
    <x v="6"/>
    <s v="Other"/>
    <n v="52"/>
    <s v="26-35"/>
    <x v="5"/>
    <x v="10"/>
    <n v="3"/>
    <n v="4250"/>
    <n v="25"/>
    <n v="0.25"/>
    <n v="3187.5"/>
    <n v="9562.5"/>
    <n v="54"/>
    <n v="9616.5"/>
    <x v="4"/>
    <x v="2"/>
    <x v="1"/>
    <n v="3"/>
    <m/>
  </r>
  <r>
    <x v="96"/>
    <s v="TNCUST0209"/>
    <x v="89"/>
    <s v="Hosur"/>
    <x v="9"/>
    <s v="Other"/>
    <n v="43"/>
    <s v="46-55"/>
    <x v="2"/>
    <x v="22"/>
    <n v="2"/>
    <n v="1281"/>
    <n v="5"/>
    <n v="0.05"/>
    <n v="128.1"/>
    <n v="2433.9"/>
    <n v="100"/>
    <n v="2533.9"/>
    <x v="1"/>
    <x v="1"/>
    <x v="4"/>
    <m/>
    <m/>
  </r>
  <r>
    <x v="97"/>
    <s v="TNCUST0128"/>
    <x v="83"/>
    <s v="Nagercoil"/>
    <x v="13"/>
    <s v="Other"/>
    <n v="39"/>
    <s v="46-55"/>
    <x v="1"/>
    <x v="20"/>
    <n v="3"/>
    <n v="6948"/>
    <n v="10"/>
    <n v="0.1"/>
    <n v="2084.4"/>
    <n v="18759.599999999999"/>
    <n v="122"/>
    <n v="18881.599999999999"/>
    <x v="1"/>
    <x v="0"/>
    <x v="0"/>
    <n v="4"/>
    <n v="3.5"/>
  </r>
  <r>
    <x v="98"/>
    <s v="TNCUST0184"/>
    <x v="90"/>
    <s v="Salem"/>
    <x v="11"/>
    <s v="Female"/>
    <n v="46"/>
    <s v="26-35"/>
    <x v="0"/>
    <x v="28"/>
    <n v="1"/>
    <n v="57240"/>
    <n v="0"/>
    <n v="0"/>
    <n v="0"/>
    <n v="57240"/>
    <n v="189"/>
    <n v="57429"/>
    <x v="4"/>
    <x v="2"/>
    <x v="0"/>
    <n v="3"/>
    <n v="4.5"/>
  </r>
  <r>
    <x v="99"/>
    <s v="TNCUST0218"/>
    <x v="91"/>
    <s v="Tirunelveli"/>
    <x v="6"/>
    <s v="Other"/>
    <n v="19"/>
    <s v="46-55"/>
    <x v="2"/>
    <x v="2"/>
    <n v="3"/>
    <n v="387"/>
    <n v="15"/>
    <n v="0.15"/>
    <n v="174.15"/>
    <n v="986.85"/>
    <n v="225"/>
    <n v="1211.8499999999999"/>
    <x v="0"/>
    <x v="1"/>
    <x v="0"/>
    <n v="2"/>
    <n v="3.5"/>
  </r>
  <r>
    <x v="100"/>
    <s v="TNCUST0094"/>
    <x v="92"/>
    <s v="Coimbatore"/>
    <x v="2"/>
    <s v="Female"/>
    <n v="26"/>
    <s v="36-45"/>
    <x v="4"/>
    <x v="12"/>
    <n v="3"/>
    <n v="5046"/>
    <n v="10"/>
    <n v="0.1"/>
    <n v="1513.8"/>
    <n v="13624.2"/>
    <n v="215"/>
    <n v="13839.2"/>
    <x v="4"/>
    <x v="2"/>
    <x v="0"/>
    <n v="5"/>
    <n v="4.5"/>
  </r>
  <r>
    <x v="101"/>
    <s v="TNCUST0052"/>
    <x v="93"/>
    <s v="Tiruchirappalli"/>
    <x v="1"/>
    <s v="Male"/>
    <n v="49"/>
    <s v="26-35"/>
    <x v="0"/>
    <x v="0"/>
    <n v="2"/>
    <n v="66210"/>
    <n v="10"/>
    <n v="0.1"/>
    <n v="13242"/>
    <n v="119178"/>
    <n v="74"/>
    <n v="119252"/>
    <x v="0"/>
    <x v="2"/>
    <x v="1"/>
    <n v="3"/>
    <m/>
  </r>
  <r>
    <x v="102"/>
    <s v="TNCUST0045"/>
    <x v="94"/>
    <s v="Madurai"/>
    <x v="3"/>
    <s v="Female"/>
    <n v="58"/>
    <s v="56+"/>
    <x v="1"/>
    <x v="11"/>
    <n v="1"/>
    <n v="4841"/>
    <n v="10"/>
    <n v="0.1"/>
    <n v="484.1"/>
    <n v="4356.8999999999996"/>
    <n v="237"/>
    <n v="4593.8999999999996"/>
    <x v="2"/>
    <x v="1"/>
    <x v="4"/>
    <m/>
    <m/>
  </r>
  <r>
    <x v="103"/>
    <s v="TNCUST0184"/>
    <x v="95"/>
    <s v="Tiruchirappalli"/>
    <x v="1"/>
    <s v="Other"/>
    <n v="37"/>
    <s v="46-55"/>
    <x v="4"/>
    <x v="7"/>
    <n v="4"/>
    <n v="3356"/>
    <n v="20"/>
    <n v="0.2"/>
    <n v="2684.8"/>
    <n v="10739.2"/>
    <n v="246"/>
    <n v="10985.2"/>
    <x v="3"/>
    <x v="2"/>
    <x v="0"/>
    <n v="1"/>
    <n v="4"/>
  </r>
  <r>
    <x v="104"/>
    <s v="TNCUST0197"/>
    <x v="96"/>
    <s v="Nagercoil"/>
    <x v="13"/>
    <s v="Male"/>
    <n v="55"/>
    <s v="46-55"/>
    <x v="2"/>
    <x v="9"/>
    <n v="1"/>
    <n v="1923"/>
    <n v="20"/>
    <n v="0.2"/>
    <n v="384.6"/>
    <n v="1538.4"/>
    <n v="244"/>
    <n v="1782.4"/>
    <x v="3"/>
    <x v="1"/>
    <x v="0"/>
    <n v="6"/>
    <n v="3.5"/>
  </r>
  <r>
    <x v="105"/>
    <s v="TNCUST0051"/>
    <x v="97"/>
    <s v="Kanchipuram"/>
    <x v="7"/>
    <s v="Other"/>
    <n v="23"/>
    <s v="56+"/>
    <x v="0"/>
    <x v="8"/>
    <n v="2"/>
    <n v="40662"/>
    <n v="5"/>
    <n v="0.05"/>
    <n v="4066.2"/>
    <n v="77257.8"/>
    <n v="152"/>
    <n v="77409.8"/>
    <x v="1"/>
    <x v="1"/>
    <x v="0"/>
    <n v="7"/>
    <n v="4"/>
  </r>
  <r>
    <x v="106"/>
    <s v="TNCUST0011"/>
    <x v="79"/>
    <s v="Dindigul"/>
    <x v="0"/>
    <s v="Male"/>
    <n v="54"/>
    <s v="18-25"/>
    <x v="5"/>
    <x v="16"/>
    <n v="5"/>
    <n v="3062"/>
    <n v="25"/>
    <n v="0.25"/>
    <n v="3827.5"/>
    <n v="11482.5"/>
    <n v="250"/>
    <n v="11732.5"/>
    <x v="0"/>
    <x v="0"/>
    <x v="1"/>
    <n v="3"/>
    <m/>
  </r>
  <r>
    <x v="107"/>
    <s v="TNCUST0117"/>
    <x v="98"/>
    <s v="Nagercoil"/>
    <x v="13"/>
    <s v="Male"/>
    <n v="43"/>
    <s v="18-25"/>
    <x v="3"/>
    <x v="5"/>
    <n v="2"/>
    <n v="3791"/>
    <n v="20"/>
    <n v="0.2"/>
    <n v="1516.4"/>
    <n v="6065.6"/>
    <n v="97"/>
    <n v="6162.6"/>
    <x v="2"/>
    <x v="2"/>
    <x v="0"/>
    <n v="2"/>
    <n v="4"/>
  </r>
  <r>
    <x v="108"/>
    <s v="TNCUST0195"/>
    <x v="21"/>
    <s v="Erode"/>
    <x v="8"/>
    <s v="Female"/>
    <n v="26"/>
    <s v="56+"/>
    <x v="2"/>
    <x v="18"/>
    <n v="2"/>
    <n v="1360"/>
    <n v="10"/>
    <n v="0.1"/>
    <n v="272"/>
    <n v="2448"/>
    <n v="240"/>
    <n v="2688"/>
    <x v="3"/>
    <x v="1"/>
    <x v="1"/>
    <n v="4"/>
    <m/>
  </r>
  <r>
    <x v="109"/>
    <s v="TNCUST0247"/>
    <x v="23"/>
    <s v="Tirunelveli"/>
    <x v="6"/>
    <s v="Male"/>
    <n v="33"/>
    <s v="36-45"/>
    <x v="4"/>
    <x v="23"/>
    <n v="1"/>
    <n v="4083"/>
    <n v="10"/>
    <n v="0.1"/>
    <n v="408.3"/>
    <n v="3674.7"/>
    <n v="241"/>
    <n v="3915.7"/>
    <x v="3"/>
    <x v="0"/>
    <x v="3"/>
    <m/>
    <m/>
  </r>
  <r>
    <x v="110"/>
    <s v="TNCUST0150"/>
    <x v="99"/>
    <s v="Tirunelveli"/>
    <x v="6"/>
    <s v="Female"/>
    <n v="31"/>
    <s v="18-25"/>
    <x v="4"/>
    <x v="7"/>
    <n v="4"/>
    <n v="4224"/>
    <n v="0"/>
    <n v="0"/>
    <n v="0"/>
    <n v="16896"/>
    <n v="149"/>
    <n v="17045"/>
    <x v="0"/>
    <x v="2"/>
    <x v="3"/>
    <m/>
    <m/>
  </r>
  <r>
    <x v="111"/>
    <s v="TNCUST0103"/>
    <x v="45"/>
    <s v="Vellore"/>
    <x v="5"/>
    <s v="Male"/>
    <n v="20"/>
    <s v="56+"/>
    <x v="3"/>
    <x v="6"/>
    <n v="3"/>
    <n v="698"/>
    <n v="10"/>
    <n v="0.1"/>
    <n v="209.4"/>
    <n v="1884.6"/>
    <n v="215"/>
    <n v="2099.6"/>
    <x v="3"/>
    <x v="1"/>
    <x v="1"/>
    <n v="3"/>
    <m/>
  </r>
  <r>
    <x v="112"/>
    <s v="TNCUST0096"/>
    <x v="100"/>
    <s v="Tirunelveli"/>
    <x v="6"/>
    <s v="Female"/>
    <n v="43"/>
    <s v="56+"/>
    <x v="3"/>
    <x v="5"/>
    <n v="1"/>
    <n v="1295"/>
    <n v="20"/>
    <n v="0.2"/>
    <n v="259"/>
    <n v="1036"/>
    <n v="50"/>
    <n v="1086"/>
    <x v="1"/>
    <x v="1"/>
    <x v="1"/>
    <n v="1"/>
    <m/>
  </r>
  <r>
    <x v="113"/>
    <s v="TNCUST0229"/>
    <x v="25"/>
    <s v="Tiruchirappalli"/>
    <x v="1"/>
    <s v="Other"/>
    <n v="56"/>
    <s v="26-35"/>
    <x v="3"/>
    <x v="15"/>
    <n v="4"/>
    <n v="711"/>
    <n v="10"/>
    <n v="0.1"/>
    <n v="284.39999999999998"/>
    <n v="2559.6"/>
    <n v="152"/>
    <n v="2711.6"/>
    <x v="1"/>
    <x v="0"/>
    <x v="2"/>
    <m/>
    <m/>
  </r>
  <r>
    <x v="114"/>
    <s v="TNCUST0085"/>
    <x v="101"/>
    <s v="Tirunelveli"/>
    <x v="6"/>
    <s v="Other"/>
    <n v="19"/>
    <s v="18-25"/>
    <x v="4"/>
    <x v="23"/>
    <n v="5"/>
    <n v="5263"/>
    <n v="20"/>
    <n v="0.2"/>
    <n v="5263"/>
    <n v="21052"/>
    <n v="164"/>
    <n v="21216"/>
    <x v="5"/>
    <x v="0"/>
    <x v="0"/>
    <n v="4"/>
    <n v="4"/>
  </r>
  <r>
    <x v="115"/>
    <s v="TNCUST0038"/>
    <x v="102"/>
    <s v="Salem"/>
    <x v="11"/>
    <s v="Other"/>
    <n v="57"/>
    <s v="26-35"/>
    <x v="1"/>
    <x v="24"/>
    <n v="5"/>
    <n v="6309"/>
    <n v="0"/>
    <n v="0"/>
    <n v="0"/>
    <n v="31545"/>
    <n v="63"/>
    <n v="31608"/>
    <x v="0"/>
    <x v="0"/>
    <x v="0"/>
    <n v="6"/>
    <n v="4"/>
  </r>
  <r>
    <x v="116"/>
    <s v="TNCUST0036"/>
    <x v="93"/>
    <s v="Hosur"/>
    <x v="9"/>
    <s v="Other"/>
    <n v="21"/>
    <s v="26-35"/>
    <x v="0"/>
    <x v="3"/>
    <n v="1"/>
    <n v="58607"/>
    <n v="5"/>
    <n v="0.05"/>
    <n v="2930.35"/>
    <n v="55676.65"/>
    <n v="218"/>
    <n v="55894.65"/>
    <x v="3"/>
    <x v="2"/>
    <x v="0"/>
    <n v="4"/>
    <n v="5"/>
  </r>
  <r>
    <x v="117"/>
    <s v="TNCUST0157"/>
    <x v="103"/>
    <s v="Dindigul"/>
    <x v="0"/>
    <s v="Female"/>
    <n v="34"/>
    <s v="26-35"/>
    <x v="2"/>
    <x v="9"/>
    <n v="4"/>
    <n v="2263"/>
    <n v="10"/>
    <n v="0.1"/>
    <n v="905.2"/>
    <n v="8146.8"/>
    <n v="242"/>
    <n v="8388.7999999999993"/>
    <x v="2"/>
    <x v="2"/>
    <x v="1"/>
    <n v="6"/>
    <m/>
  </r>
  <r>
    <x v="118"/>
    <s v="TNCUST0147"/>
    <x v="104"/>
    <s v="Thoothukudi"/>
    <x v="12"/>
    <s v="Other"/>
    <n v="25"/>
    <s v="56+"/>
    <x v="5"/>
    <x v="27"/>
    <n v="3"/>
    <n v="8311"/>
    <n v="20"/>
    <n v="0.2"/>
    <n v="4986.6000000000004"/>
    <n v="19946.400000000001"/>
    <n v="223"/>
    <n v="20169.400000000001"/>
    <x v="5"/>
    <x v="2"/>
    <x v="3"/>
    <m/>
    <m/>
  </r>
  <r>
    <x v="119"/>
    <s v="TNCUST0239"/>
    <x v="105"/>
    <s v="Kanchipuram"/>
    <x v="7"/>
    <s v="Other"/>
    <n v="52"/>
    <s v="36-45"/>
    <x v="5"/>
    <x v="27"/>
    <n v="3"/>
    <n v="1594"/>
    <n v="25"/>
    <n v="0.25"/>
    <n v="1195.5"/>
    <n v="3586.5"/>
    <n v="142"/>
    <n v="3728.5"/>
    <x v="2"/>
    <x v="1"/>
    <x v="0"/>
    <n v="2"/>
    <n v="4"/>
  </r>
  <r>
    <x v="120"/>
    <s v="TNCUST0247"/>
    <x v="106"/>
    <s v="Thanjavur"/>
    <x v="4"/>
    <s v="Other"/>
    <n v="26"/>
    <s v="26-35"/>
    <x v="1"/>
    <x v="1"/>
    <n v="2"/>
    <n v="2307"/>
    <n v="0"/>
    <n v="0"/>
    <n v="0"/>
    <n v="4614"/>
    <n v="104"/>
    <n v="4718"/>
    <x v="5"/>
    <x v="0"/>
    <x v="0"/>
    <n v="1"/>
    <n v="3"/>
  </r>
  <r>
    <x v="121"/>
    <s v="TNCUST0234"/>
    <x v="51"/>
    <s v="Karur"/>
    <x v="10"/>
    <s v="Male"/>
    <n v="20"/>
    <s v="46-55"/>
    <x v="2"/>
    <x v="18"/>
    <n v="2"/>
    <n v="322"/>
    <n v="0"/>
    <n v="0"/>
    <n v="0"/>
    <n v="644"/>
    <n v="79"/>
    <n v="723"/>
    <x v="2"/>
    <x v="1"/>
    <x v="1"/>
    <n v="6"/>
    <m/>
  </r>
  <r>
    <x v="122"/>
    <s v="TNCUST0140"/>
    <x v="97"/>
    <s v="Kanchipuram"/>
    <x v="7"/>
    <s v="Other"/>
    <n v="59"/>
    <s v="46-55"/>
    <x v="2"/>
    <x v="18"/>
    <n v="2"/>
    <n v="1302"/>
    <n v="0"/>
    <n v="0"/>
    <n v="0"/>
    <n v="2604"/>
    <n v="105"/>
    <n v="2709"/>
    <x v="2"/>
    <x v="0"/>
    <x v="4"/>
    <m/>
    <m/>
  </r>
  <r>
    <x v="123"/>
    <s v="TNCUST0045"/>
    <x v="90"/>
    <s v="Vellore"/>
    <x v="5"/>
    <s v="Other"/>
    <n v="30"/>
    <s v="46-55"/>
    <x v="5"/>
    <x v="27"/>
    <n v="1"/>
    <n v="7818"/>
    <n v="0"/>
    <n v="0"/>
    <n v="0"/>
    <n v="7818"/>
    <n v="222"/>
    <n v="8040"/>
    <x v="5"/>
    <x v="0"/>
    <x v="1"/>
    <n v="5"/>
    <m/>
  </r>
  <r>
    <x v="124"/>
    <s v="TNCUST0078"/>
    <x v="107"/>
    <s v="Tirunelveli"/>
    <x v="6"/>
    <s v="Other"/>
    <n v="35"/>
    <s v="56+"/>
    <x v="0"/>
    <x v="28"/>
    <n v="1"/>
    <n v="25019"/>
    <n v="0"/>
    <n v="0"/>
    <n v="0"/>
    <n v="25019"/>
    <n v="80"/>
    <n v="25099"/>
    <x v="0"/>
    <x v="2"/>
    <x v="0"/>
    <n v="7"/>
    <n v="4"/>
  </r>
  <r>
    <x v="125"/>
    <s v="TNCUST0177"/>
    <x v="108"/>
    <s v="Dindigul"/>
    <x v="0"/>
    <s v="Male"/>
    <n v="37"/>
    <s v="36-45"/>
    <x v="5"/>
    <x v="27"/>
    <n v="1"/>
    <n v="5326"/>
    <n v="20"/>
    <n v="0.2"/>
    <n v="1065.2"/>
    <n v="4260.8"/>
    <n v="247"/>
    <n v="4507.8"/>
    <x v="1"/>
    <x v="0"/>
    <x v="4"/>
    <m/>
    <m/>
  </r>
  <r>
    <x v="126"/>
    <s v="TNCUST0196"/>
    <x v="68"/>
    <s v="Tiruchirappalli"/>
    <x v="1"/>
    <s v="Male"/>
    <n v="31"/>
    <s v="56+"/>
    <x v="4"/>
    <x v="7"/>
    <n v="4"/>
    <n v="4127"/>
    <n v="15"/>
    <n v="0.15"/>
    <n v="2476.1999999999998"/>
    <n v="14031.8"/>
    <n v="225"/>
    <n v="14256.8"/>
    <x v="0"/>
    <x v="0"/>
    <x v="1"/>
    <n v="7"/>
    <m/>
  </r>
  <r>
    <x v="127"/>
    <s v="TNCUST0030"/>
    <x v="109"/>
    <s v="Vellore"/>
    <x v="5"/>
    <s v="Other"/>
    <n v="51"/>
    <s v="26-35"/>
    <x v="3"/>
    <x v="5"/>
    <n v="1"/>
    <n v="3848"/>
    <n v="5"/>
    <n v="0.05"/>
    <n v="192.4"/>
    <n v="3655.6"/>
    <n v="58"/>
    <n v="3713.6"/>
    <x v="4"/>
    <x v="0"/>
    <x v="0"/>
    <n v="3"/>
    <n v="4"/>
  </r>
  <r>
    <x v="128"/>
    <s v="TNCUST0006"/>
    <x v="110"/>
    <s v="Vellore"/>
    <x v="5"/>
    <s v="Female"/>
    <n v="37"/>
    <s v="36-45"/>
    <x v="0"/>
    <x v="8"/>
    <n v="4"/>
    <n v="8092"/>
    <n v="20"/>
    <n v="0.2"/>
    <n v="6473.6"/>
    <n v="25894.400000000001"/>
    <n v="138"/>
    <n v="26032.400000000001"/>
    <x v="0"/>
    <x v="0"/>
    <x v="0"/>
    <n v="7"/>
    <n v="5"/>
  </r>
  <r>
    <x v="129"/>
    <s v="TNCUST0047"/>
    <x v="0"/>
    <s v="Tiruchirappalli"/>
    <x v="1"/>
    <s v="Male"/>
    <n v="44"/>
    <s v="46-55"/>
    <x v="3"/>
    <x v="13"/>
    <n v="1"/>
    <n v="396"/>
    <n v="0"/>
    <n v="0"/>
    <n v="0"/>
    <n v="396"/>
    <n v="140"/>
    <n v="536"/>
    <x v="1"/>
    <x v="2"/>
    <x v="3"/>
    <m/>
    <m/>
  </r>
  <r>
    <x v="130"/>
    <s v="TNCUST0077"/>
    <x v="111"/>
    <s v="Vellore"/>
    <x v="5"/>
    <s v="Female"/>
    <n v="18"/>
    <s v="56+"/>
    <x v="2"/>
    <x v="18"/>
    <n v="1"/>
    <n v="565"/>
    <n v="15"/>
    <n v="0.15"/>
    <n v="84.75"/>
    <n v="480.25"/>
    <n v="206"/>
    <n v="686.25"/>
    <x v="5"/>
    <x v="0"/>
    <x v="0"/>
    <n v="7"/>
    <n v="3"/>
  </r>
  <r>
    <x v="131"/>
    <s v="TNCUST0197"/>
    <x v="112"/>
    <s v="Erode"/>
    <x v="8"/>
    <s v="Male"/>
    <n v="57"/>
    <s v="26-35"/>
    <x v="4"/>
    <x v="7"/>
    <n v="4"/>
    <n v="1670"/>
    <n v="25"/>
    <n v="0.25"/>
    <n v="1670"/>
    <n v="5010"/>
    <n v="28"/>
    <n v="5038"/>
    <x v="2"/>
    <x v="1"/>
    <x v="2"/>
    <m/>
    <m/>
  </r>
  <r>
    <x v="132"/>
    <s v="TNCUST0060"/>
    <x v="4"/>
    <s v="Coimbatore"/>
    <x v="2"/>
    <s v="Other"/>
    <n v="50"/>
    <s v="56+"/>
    <x v="3"/>
    <x v="13"/>
    <n v="4"/>
    <n v="1947"/>
    <n v="20"/>
    <n v="0.2"/>
    <n v="1557.6"/>
    <n v="6230.4"/>
    <n v="241"/>
    <n v="6471.4"/>
    <x v="1"/>
    <x v="0"/>
    <x v="0"/>
    <n v="2"/>
    <n v="4"/>
  </r>
  <r>
    <x v="133"/>
    <s v="TNCUST0127"/>
    <x v="63"/>
    <s v="Thanjavur"/>
    <x v="4"/>
    <s v="Male"/>
    <n v="45"/>
    <s v="36-45"/>
    <x v="1"/>
    <x v="19"/>
    <n v="2"/>
    <n v="2861"/>
    <n v="10"/>
    <n v="0.1"/>
    <n v="572.20000000000005"/>
    <n v="5149.8"/>
    <n v="171"/>
    <n v="5320.8"/>
    <x v="4"/>
    <x v="0"/>
    <x v="0"/>
    <n v="6"/>
    <n v="4.5"/>
  </r>
  <r>
    <x v="134"/>
    <s v="TNCUST0235"/>
    <x v="113"/>
    <s v="Erode"/>
    <x v="8"/>
    <s v="Male"/>
    <n v="27"/>
    <s v="56+"/>
    <x v="3"/>
    <x v="5"/>
    <n v="4"/>
    <n v="903"/>
    <n v="20"/>
    <n v="0.2"/>
    <n v="722.4"/>
    <n v="2889.6"/>
    <n v="237"/>
    <n v="3126.6"/>
    <x v="5"/>
    <x v="2"/>
    <x v="0"/>
    <n v="3"/>
    <n v="4"/>
  </r>
  <r>
    <x v="135"/>
    <s v="TNCUST0014"/>
    <x v="114"/>
    <s v="Thoothukudi"/>
    <x v="12"/>
    <s v="Female"/>
    <n v="30"/>
    <s v="46-55"/>
    <x v="3"/>
    <x v="4"/>
    <n v="4"/>
    <n v="2798"/>
    <n v="15"/>
    <n v="0.15"/>
    <n v="1678.8"/>
    <n v="9513.2000000000007"/>
    <n v="43"/>
    <n v="9556.2000000000007"/>
    <x v="4"/>
    <x v="0"/>
    <x v="2"/>
    <m/>
    <m/>
  </r>
  <r>
    <x v="136"/>
    <s v="TNCUST0194"/>
    <x v="8"/>
    <s v="Thanjavur"/>
    <x v="4"/>
    <s v="Female"/>
    <n v="25"/>
    <s v="26-35"/>
    <x v="0"/>
    <x v="0"/>
    <n v="2"/>
    <n v="74049"/>
    <n v="10"/>
    <n v="0.1"/>
    <n v="14809.8"/>
    <n v="133288.20000000001"/>
    <n v="23"/>
    <n v="133311.20000000001"/>
    <x v="4"/>
    <x v="0"/>
    <x v="0"/>
    <n v="2"/>
    <n v="5"/>
  </r>
  <r>
    <x v="137"/>
    <s v="TNCUST0026"/>
    <x v="115"/>
    <s v="Hosur"/>
    <x v="9"/>
    <s v="Other"/>
    <n v="49"/>
    <s v="46-55"/>
    <x v="4"/>
    <x v="23"/>
    <n v="2"/>
    <n v="3034"/>
    <n v="25"/>
    <n v="0.25"/>
    <n v="1517"/>
    <n v="4551"/>
    <n v="86"/>
    <n v="4637"/>
    <x v="1"/>
    <x v="1"/>
    <x v="0"/>
    <n v="5"/>
    <n v="4"/>
  </r>
  <r>
    <x v="138"/>
    <s v="TNCUST0059"/>
    <x v="90"/>
    <s v="Tirunelveli"/>
    <x v="6"/>
    <s v="Female"/>
    <n v="30"/>
    <s v="56+"/>
    <x v="5"/>
    <x v="21"/>
    <n v="1"/>
    <n v="2690"/>
    <n v="20"/>
    <n v="0.2"/>
    <n v="538"/>
    <n v="2152"/>
    <n v="126"/>
    <n v="2278"/>
    <x v="2"/>
    <x v="2"/>
    <x v="0"/>
    <n v="2"/>
    <n v="4"/>
  </r>
  <r>
    <x v="139"/>
    <s v="TNCUST0165"/>
    <x v="116"/>
    <s v="Thoothukudi"/>
    <x v="12"/>
    <s v="Male"/>
    <n v="29"/>
    <s v="56+"/>
    <x v="1"/>
    <x v="19"/>
    <n v="3"/>
    <n v="6402"/>
    <n v="10"/>
    <n v="0.1"/>
    <n v="1920.6"/>
    <n v="17285.400000000001"/>
    <n v="204"/>
    <n v="17489.400000000001"/>
    <x v="0"/>
    <x v="1"/>
    <x v="0"/>
    <n v="4"/>
    <n v="4.5"/>
  </r>
  <r>
    <x v="140"/>
    <s v="TNCUST0171"/>
    <x v="117"/>
    <s v="Kanchipuram"/>
    <x v="7"/>
    <s v="Other"/>
    <n v="57"/>
    <s v="46-55"/>
    <x v="1"/>
    <x v="24"/>
    <n v="1"/>
    <n v="1637"/>
    <n v="0"/>
    <n v="0"/>
    <n v="0"/>
    <n v="1637"/>
    <n v="136"/>
    <n v="1773"/>
    <x v="4"/>
    <x v="2"/>
    <x v="0"/>
    <n v="1"/>
    <n v="5"/>
  </r>
  <r>
    <x v="141"/>
    <s v="TNCUST0207"/>
    <x v="118"/>
    <s v="Chennai"/>
    <x v="14"/>
    <s v="Male"/>
    <n v="45"/>
    <s v="18-25"/>
    <x v="0"/>
    <x v="8"/>
    <n v="5"/>
    <n v="54714"/>
    <n v="20"/>
    <n v="0.2"/>
    <n v="54714"/>
    <n v="218856"/>
    <n v="24"/>
    <n v="218880"/>
    <x v="0"/>
    <x v="0"/>
    <x v="3"/>
    <m/>
    <m/>
  </r>
  <r>
    <x v="142"/>
    <s v="TNCUST0058"/>
    <x v="74"/>
    <s v="Madurai"/>
    <x v="3"/>
    <s v="Female"/>
    <n v="33"/>
    <s v="18-25"/>
    <x v="4"/>
    <x v="7"/>
    <n v="5"/>
    <n v="2467"/>
    <n v="0"/>
    <n v="0"/>
    <n v="0"/>
    <n v="12335"/>
    <n v="123"/>
    <n v="12458"/>
    <x v="4"/>
    <x v="0"/>
    <x v="0"/>
    <n v="5"/>
    <n v="5"/>
  </r>
  <r>
    <x v="143"/>
    <s v="TNCUST0166"/>
    <x v="119"/>
    <s v="Nagercoil"/>
    <x v="13"/>
    <s v="Female"/>
    <n v="45"/>
    <s v="56+"/>
    <x v="0"/>
    <x v="0"/>
    <n v="4"/>
    <n v="50510"/>
    <n v="0"/>
    <n v="0"/>
    <n v="0"/>
    <n v="202040"/>
    <n v="41"/>
    <n v="202081"/>
    <x v="0"/>
    <x v="0"/>
    <x v="1"/>
    <n v="7"/>
    <m/>
  </r>
  <r>
    <x v="144"/>
    <s v="TNCUST0238"/>
    <x v="120"/>
    <s v="Karur"/>
    <x v="10"/>
    <s v="Female"/>
    <n v="29"/>
    <s v="18-25"/>
    <x v="0"/>
    <x v="3"/>
    <n v="2"/>
    <n v="63124"/>
    <n v="10"/>
    <n v="0.1"/>
    <n v="12624.8"/>
    <n v="113623.2"/>
    <n v="164"/>
    <n v="113787.2"/>
    <x v="2"/>
    <x v="0"/>
    <x v="4"/>
    <m/>
    <m/>
  </r>
  <r>
    <x v="145"/>
    <s v="TNCUST0203"/>
    <x v="50"/>
    <s v="Madurai"/>
    <x v="3"/>
    <s v="Other"/>
    <n v="26"/>
    <s v="18-25"/>
    <x v="1"/>
    <x v="11"/>
    <n v="1"/>
    <n v="7237"/>
    <n v="15"/>
    <n v="0.15"/>
    <n v="1085.55"/>
    <n v="6151.45"/>
    <n v="158"/>
    <n v="6309.45"/>
    <x v="3"/>
    <x v="0"/>
    <x v="1"/>
    <n v="4"/>
    <m/>
  </r>
  <r>
    <x v="146"/>
    <s v="TNCUST0092"/>
    <x v="121"/>
    <s v="Tirunelveli"/>
    <x v="6"/>
    <s v="Other"/>
    <n v="32"/>
    <s v="46-55"/>
    <x v="0"/>
    <x v="0"/>
    <n v="4"/>
    <n v="31227"/>
    <n v="0"/>
    <n v="0"/>
    <n v="0"/>
    <n v="124908"/>
    <n v="220"/>
    <n v="125128"/>
    <x v="5"/>
    <x v="1"/>
    <x v="1"/>
    <n v="4"/>
    <m/>
  </r>
  <r>
    <x v="147"/>
    <s v="TNCUST0082"/>
    <x v="67"/>
    <s v="Dindigul"/>
    <x v="0"/>
    <s v="Female"/>
    <n v="42"/>
    <s v="18-25"/>
    <x v="3"/>
    <x v="6"/>
    <n v="1"/>
    <n v="1247"/>
    <n v="15"/>
    <n v="0.15"/>
    <n v="187.05"/>
    <n v="1059.95"/>
    <n v="182"/>
    <n v="1241.95"/>
    <x v="0"/>
    <x v="1"/>
    <x v="1"/>
    <n v="6"/>
    <m/>
  </r>
  <r>
    <x v="148"/>
    <s v="TNCUST0142"/>
    <x v="122"/>
    <s v="Salem"/>
    <x v="11"/>
    <s v="Male"/>
    <n v="23"/>
    <s v="56+"/>
    <x v="2"/>
    <x v="14"/>
    <n v="3"/>
    <n v="847"/>
    <n v="20"/>
    <n v="0.2"/>
    <n v="508.2"/>
    <n v="2032.8"/>
    <n v="124"/>
    <n v="2156.8000000000002"/>
    <x v="3"/>
    <x v="2"/>
    <x v="0"/>
    <n v="1"/>
    <n v="4"/>
  </r>
  <r>
    <x v="149"/>
    <s v="TNCUST0078"/>
    <x v="123"/>
    <s v="Kanchipuram"/>
    <x v="7"/>
    <s v="Female"/>
    <n v="26"/>
    <s v="46-55"/>
    <x v="2"/>
    <x v="2"/>
    <n v="3"/>
    <n v="2371"/>
    <n v="20"/>
    <n v="0.2"/>
    <n v="1422.6"/>
    <n v="5690.4"/>
    <n v="195"/>
    <n v="5885.4"/>
    <x v="2"/>
    <x v="1"/>
    <x v="0"/>
    <n v="2"/>
    <n v="4"/>
  </r>
  <r>
    <x v="150"/>
    <s v="TNCUST0028"/>
    <x v="23"/>
    <s v="Madurai"/>
    <x v="3"/>
    <s v="Male"/>
    <n v="47"/>
    <s v="36-45"/>
    <x v="2"/>
    <x v="14"/>
    <n v="4"/>
    <n v="1559"/>
    <n v="25"/>
    <n v="0.25"/>
    <n v="1559"/>
    <n v="4677"/>
    <n v="172"/>
    <n v="4849"/>
    <x v="0"/>
    <x v="2"/>
    <x v="1"/>
    <n v="2"/>
    <m/>
  </r>
  <r>
    <x v="151"/>
    <s v="TNCUST0247"/>
    <x v="124"/>
    <s v="Tirunelveli"/>
    <x v="6"/>
    <s v="Female"/>
    <n v="29"/>
    <s v="36-45"/>
    <x v="3"/>
    <x v="6"/>
    <n v="3"/>
    <n v="1380"/>
    <n v="20"/>
    <n v="0.2"/>
    <n v="828"/>
    <n v="3312"/>
    <n v="71"/>
    <n v="3383"/>
    <x v="1"/>
    <x v="0"/>
    <x v="3"/>
    <m/>
    <m/>
  </r>
  <r>
    <x v="152"/>
    <s v="TNCUST0175"/>
    <x v="125"/>
    <s v="Hosur"/>
    <x v="9"/>
    <s v="Other"/>
    <n v="52"/>
    <s v="18-25"/>
    <x v="1"/>
    <x v="11"/>
    <n v="5"/>
    <n v="6837"/>
    <n v="15"/>
    <n v="0.15"/>
    <n v="5127.75"/>
    <n v="29057.25"/>
    <n v="164"/>
    <n v="29221.25"/>
    <x v="4"/>
    <x v="2"/>
    <x v="0"/>
    <n v="5"/>
    <n v="3.5"/>
  </r>
  <r>
    <x v="153"/>
    <s v="TNCUST0115"/>
    <x v="126"/>
    <s v="Hosur"/>
    <x v="9"/>
    <s v="Other"/>
    <n v="42"/>
    <s v="46-55"/>
    <x v="4"/>
    <x v="23"/>
    <n v="3"/>
    <n v="3751"/>
    <n v="5"/>
    <n v="0.05"/>
    <n v="562.65"/>
    <n v="10690.35"/>
    <n v="59"/>
    <n v="10749.35"/>
    <x v="3"/>
    <x v="2"/>
    <x v="0"/>
    <n v="7"/>
    <n v="3"/>
  </r>
  <r>
    <x v="154"/>
    <s v="TNCUST0012"/>
    <x v="52"/>
    <s v="Thoothukudi"/>
    <x v="12"/>
    <s v="Other"/>
    <n v="57"/>
    <s v="46-55"/>
    <x v="3"/>
    <x v="6"/>
    <n v="5"/>
    <n v="597"/>
    <n v="5"/>
    <n v="0.05"/>
    <n v="149.25"/>
    <n v="2835.75"/>
    <n v="110"/>
    <n v="2945.75"/>
    <x v="1"/>
    <x v="2"/>
    <x v="1"/>
    <n v="6"/>
    <m/>
  </r>
  <r>
    <x v="155"/>
    <s v="TNCUST0129"/>
    <x v="127"/>
    <s v="Coimbatore"/>
    <x v="2"/>
    <s v="Male"/>
    <n v="55"/>
    <s v="36-45"/>
    <x v="0"/>
    <x v="0"/>
    <n v="3"/>
    <n v="29898"/>
    <n v="20"/>
    <n v="0.2"/>
    <n v="17938.8"/>
    <n v="71755.199999999997"/>
    <n v="115"/>
    <n v="71870.2"/>
    <x v="0"/>
    <x v="2"/>
    <x v="0"/>
    <n v="4"/>
    <n v="5"/>
  </r>
  <r>
    <x v="156"/>
    <s v="TNCUST0179"/>
    <x v="128"/>
    <s v="Coimbatore"/>
    <x v="2"/>
    <s v="Female"/>
    <n v="46"/>
    <s v="36-45"/>
    <x v="5"/>
    <x v="21"/>
    <n v="1"/>
    <n v="6007"/>
    <n v="5"/>
    <n v="0.05"/>
    <n v="300.35000000000002"/>
    <n v="5706.65"/>
    <n v="109"/>
    <n v="5815.65"/>
    <x v="0"/>
    <x v="2"/>
    <x v="0"/>
    <n v="1"/>
    <n v="5"/>
  </r>
  <r>
    <x v="157"/>
    <s v="TNCUST0246"/>
    <x v="129"/>
    <s v="Chennai"/>
    <x v="14"/>
    <s v="Female"/>
    <n v="53"/>
    <s v="26-35"/>
    <x v="1"/>
    <x v="24"/>
    <n v="1"/>
    <n v="6466"/>
    <n v="5"/>
    <n v="0.05"/>
    <n v="323.3"/>
    <n v="6142.7"/>
    <n v="161"/>
    <n v="6303.7"/>
    <x v="5"/>
    <x v="0"/>
    <x v="0"/>
    <n v="3"/>
    <n v="4"/>
  </r>
  <r>
    <x v="158"/>
    <s v="TNCUST0027"/>
    <x v="130"/>
    <s v="Madurai"/>
    <x v="3"/>
    <s v="Other"/>
    <n v="22"/>
    <s v="26-35"/>
    <x v="4"/>
    <x v="23"/>
    <n v="4"/>
    <n v="5430"/>
    <n v="15"/>
    <n v="0.15"/>
    <n v="3258"/>
    <n v="18462"/>
    <n v="74"/>
    <n v="18536"/>
    <x v="1"/>
    <x v="2"/>
    <x v="0"/>
    <n v="3"/>
    <n v="4.5"/>
  </r>
  <r>
    <x v="159"/>
    <s v="TNCUST0181"/>
    <x v="99"/>
    <s v="Tiruchirappalli"/>
    <x v="1"/>
    <s v="Female"/>
    <n v="29"/>
    <s v="56+"/>
    <x v="2"/>
    <x v="2"/>
    <n v="3"/>
    <n v="1671"/>
    <n v="20"/>
    <n v="0.2"/>
    <n v="1002.6"/>
    <n v="4010.4"/>
    <n v="110"/>
    <n v="4120.3999999999996"/>
    <x v="3"/>
    <x v="1"/>
    <x v="0"/>
    <n v="5"/>
    <n v="5"/>
  </r>
  <r>
    <x v="160"/>
    <s v="TNCUST0109"/>
    <x v="40"/>
    <s v="Dindigul"/>
    <x v="0"/>
    <s v="Male"/>
    <n v="54"/>
    <s v="46-55"/>
    <x v="4"/>
    <x v="12"/>
    <n v="1"/>
    <n v="2901"/>
    <n v="5"/>
    <n v="0.05"/>
    <n v="145.05000000000001"/>
    <n v="2755.95"/>
    <n v="127"/>
    <n v="2882.95"/>
    <x v="4"/>
    <x v="0"/>
    <x v="0"/>
    <n v="2"/>
    <n v="4"/>
  </r>
  <r>
    <x v="161"/>
    <s v="TNCUST0050"/>
    <x v="131"/>
    <s v="Hosur"/>
    <x v="9"/>
    <s v="Female"/>
    <n v="49"/>
    <s v="56+"/>
    <x v="1"/>
    <x v="20"/>
    <n v="5"/>
    <n v="2977"/>
    <n v="15"/>
    <n v="0.15"/>
    <n v="2232.75"/>
    <n v="12652.25"/>
    <n v="241"/>
    <n v="12893.25"/>
    <x v="3"/>
    <x v="0"/>
    <x v="0"/>
    <n v="1"/>
    <n v="3.5"/>
  </r>
  <r>
    <x v="162"/>
    <s v="TNCUST0200"/>
    <x v="113"/>
    <s v="Vellore"/>
    <x v="5"/>
    <s v="Female"/>
    <n v="36"/>
    <s v="56+"/>
    <x v="2"/>
    <x v="18"/>
    <n v="4"/>
    <n v="418"/>
    <n v="5"/>
    <n v="0.05"/>
    <n v="83.6"/>
    <n v="1588.4"/>
    <n v="90"/>
    <n v="1678.4"/>
    <x v="4"/>
    <x v="2"/>
    <x v="0"/>
    <n v="5"/>
    <n v="3.5"/>
  </r>
  <r>
    <x v="163"/>
    <s v="TNCUST0027"/>
    <x v="116"/>
    <s v="Thoothukudi"/>
    <x v="12"/>
    <s v="Other"/>
    <n v="45"/>
    <s v="26-35"/>
    <x v="3"/>
    <x v="13"/>
    <n v="5"/>
    <n v="2370"/>
    <n v="0"/>
    <n v="0"/>
    <n v="0"/>
    <n v="11850"/>
    <n v="132"/>
    <n v="11982"/>
    <x v="1"/>
    <x v="1"/>
    <x v="2"/>
    <m/>
    <m/>
  </r>
  <r>
    <x v="164"/>
    <s v="TNCUST0110"/>
    <x v="132"/>
    <s v="Vellore"/>
    <x v="5"/>
    <s v="Male"/>
    <n v="58"/>
    <s v="56+"/>
    <x v="5"/>
    <x v="26"/>
    <n v="1"/>
    <n v="4182"/>
    <n v="20"/>
    <n v="0.2"/>
    <n v="836.4"/>
    <n v="3345.6"/>
    <n v="240"/>
    <n v="3585.6"/>
    <x v="2"/>
    <x v="1"/>
    <x v="1"/>
    <n v="5"/>
    <m/>
  </r>
  <r>
    <x v="165"/>
    <s v="TNCUST0209"/>
    <x v="133"/>
    <s v="Kanchipuram"/>
    <x v="7"/>
    <s v="Male"/>
    <n v="50"/>
    <s v="26-35"/>
    <x v="4"/>
    <x v="17"/>
    <n v="5"/>
    <n v="4760"/>
    <n v="25"/>
    <n v="0.25"/>
    <n v="5950"/>
    <n v="17850"/>
    <n v="166"/>
    <n v="18016"/>
    <x v="5"/>
    <x v="1"/>
    <x v="0"/>
    <n v="7"/>
    <n v="5"/>
  </r>
  <r>
    <x v="166"/>
    <s v="TNCUST0107"/>
    <x v="10"/>
    <s v="Salem"/>
    <x v="11"/>
    <s v="Female"/>
    <n v="35"/>
    <s v="46-55"/>
    <x v="1"/>
    <x v="20"/>
    <n v="2"/>
    <n v="7310"/>
    <n v="25"/>
    <n v="0.25"/>
    <n v="3655"/>
    <n v="10965"/>
    <n v="56"/>
    <n v="11021"/>
    <x v="0"/>
    <x v="0"/>
    <x v="0"/>
    <n v="6"/>
    <n v="5"/>
  </r>
  <r>
    <x v="167"/>
    <s v="TNCUST0163"/>
    <x v="36"/>
    <s v="Nagercoil"/>
    <x v="13"/>
    <s v="Other"/>
    <n v="47"/>
    <s v="36-45"/>
    <x v="0"/>
    <x v="28"/>
    <n v="5"/>
    <n v="37267"/>
    <n v="0"/>
    <n v="0"/>
    <n v="0"/>
    <n v="186335"/>
    <n v="236"/>
    <n v="186571"/>
    <x v="0"/>
    <x v="0"/>
    <x v="4"/>
    <m/>
    <m/>
  </r>
  <r>
    <x v="168"/>
    <s v="TNCUST0196"/>
    <x v="134"/>
    <s v="Erode"/>
    <x v="8"/>
    <s v="Male"/>
    <n v="39"/>
    <s v="18-25"/>
    <x v="4"/>
    <x v="23"/>
    <n v="2"/>
    <n v="2599"/>
    <n v="20"/>
    <n v="0.2"/>
    <n v="1039.5999999999999"/>
    <n v="4158.3999999999996"/>
    <n v="238"/>
    <n v="4396.3999999999996"/>
    <x v="0"/>
    <x v="0"/>
    <x v="0"/>
    <n v="7"/>
    <n v="5"/>
  </r>
  <r>
    <x v="169"/>
    <s v="TNCUST0224"/>
    <x v="135"/>
    <s v="Nagercoil"/>
    <x v="13"/>
    <s v="Female"/>
    <n v="28"/>
    <s v="18-25"/>
    <x v="2"/>
    <x v="2"/>
    <n v="1"/>
    <n v="82"/>
    <n v="25"/>
    <n v="0.25"/>
    <n v="20.5"/>
    <n v="61.5"/>
    <n v="245"/>
    <n v="306.5"/>
    <x v="4"/>
    <x v="2"/>
    <x v="4"/>
    <m/>
    <m/>
  </r>
  <r>
    <x v="170"/>
    <s v="TNCUST0034"/>
    <x v="105"/>
    <s v="Salem"/>
    <x v="11"/>
    <s v="Other"/>
    <n v="22"/>
    <s v="26-35"/>
    <x v="0"/>
    <x v="25"/>
    <n v="2"/>
    <n v="7587"/>
    <n v="0"/>
    <n v="0"/>
    <n v="0"/>
    <n v="15174"/>
    <n v="20"/>
    <n v="15194"/>
    <x v="3"/>
    <x v="0"/>
    <x v="1"/>
    <n v="4"/>
    <m/>
  </r>
  <r>
    <x v="171"/>
    <s v="TNCUST0226"/>
    <x v="122"/>
    <s v="Vellore"/>
    <x v="5"/>
    <s v="Female"/>
    <n v="38"/>
    <s v="26-35"/>
    <x v="0"/>
    <x v="0"/>
    <n v="3"/>
    <n v="16606"/>
    <n v="15"/>
    <n v="0.15"/>
    <n v="7472.7"/>
    <n v="42345.3"/>
    <n v="226"/>
    <n v="42571.3"/>
    <x v="5"/>
    <x v="1"/>
    <x v="0"/>
    <n v="1"/>
    <n v="4"/>
  </r>
  <r>
    <x v="172"/>
    <s v="TNCUST0114"/>
    <x v="136"/>
    <s v="Dindigul"/>
    <x v="0"/>
    <s v="Male"/>
    <n v="57"/>
    <s v="18-25"/>
    <x v="1"/>
    <x v="20"/>
    <n v="1"/>
    <n v="3276"/>
    <n v="25"/>
    <n v="0.25"/>
    <n v="819"/>
    <n v="2457"/>
    <n v="211"/>
    <n v="2668"/>
    <x v="0"/>
    <x v="1"/>
    <x v="0"/>
    <n v="4"/>
    <n v="5"/>
  </r>
  <r>
    <x v="173"/>
    <s v="TNCUST0200"/>
    <x v="137"/>
    <s v="Nagercoil"/>
    <x v="13"/>
    <s v="Other"/>
    <n v="56"/>
    <s v="18-25"/>
    <x v="0"/>
    <x v="8"/>
    <n v="4"/>
    <n v="46876"/>
    <n v="25"/>
    <n v="0.25"/>
    <n v="46876"/>
    <n v="140628"/>
    <n v="161"/>
    <n v="140789"/>
    <x v="4"/>
    <x v="2"/>
    <x v="0"/>
    <n v="5"/>
    <n v="4"/>
  </r>
  <r>
    <x v="174"/>
    <s v="TNCUST0019"/>
    <x v="86"/>
    <s v="Tiruchirappalli"/>
    <x v="1"/>
    <s v="Other"/>
    <n v="58"/>
    <s v="18-25"/>
    <x v="3"/>
    <x v="15"/>
    <n v="5"/>
    <n v="3360"/>
    <n v="5"/>
    <n v="0.05"/>
    <n v="840"/>
    <n v="15960"/>
    <n v="48"/>
    <n v="16008"/>
    <x v="1"/>
    <x v="2"/>
    <x v="0"/>
    <n v="4"/>
    <n v="4.5"/>
  </r>
  <r>
    <x v="175"/>
    <s v="TNCUST0243"/>
    <x v="5"/>
    <s v="Madurai"/>
    <x v="3"/>
    <s v="Female"/>
    <n v="20"/>
    <s v="56+"/>
    <x v="2"/>
    <x v="9"/>
    <n v="4"/>
    <n v="2009"/>
    <n v="0"/>
    <n v="0"/>
    <n v="0"/>
    <n v="8036"/>
    <n v="23"/>
    <n v="8059"/>
    <x v="1"/>
    <x v="0"/>
    <x v="0"/>
    <n v="2"/>
    <n v="3"/>
  </r>
  <r>
    <x v="176"/>
    <s v="TNCUST0084"/>
    <x v="138"/>
    <s v="Hosur"/>
    <x v="9"/>
    <s v="Female"/>
    <n v="27"/>
    <s v="56+"/>
    <x v="3"/>
    <x v="6"/>
    <n v="4"/>
    <n v="2673"/>
    <n v="10"/>
    <n v="0.1"/>
    <n v="1069.2"/>
    <n v="9622.7999999999993"/>
    <n v="40"/>
    <n v="9662.7999999999993"/>
    <x v="4"/>
    <x v="0"/>
    <x v="0"/>
    <n v="2"/>
    <n v="4.5"/>
  </r>
  <r>
    <x v="177"/>
    <s v="TNCUST0190"/>
    <x v="85"/>
    <s v="Dindigul"/>
    <x v="0"/>
    <s v="Other"/>
    <n v="37"/>
    <s v="26-35"/>
    <x v="1"/>
    <x v="24"/>
    <n v="3"/>
    <n v="7974"/>
    <n v="15"/>
    <n v="0.15"/>
    <n v="3588.3"/>
    <n v="20333.7"/>
    <n v="176"/>
    <n v="20509.7"/>
    <x v="0"/>
    <x v="1"/>
    <x v="0"/>
    <n v="1"/>
    <n v="5"/>
  </r>
  <r>
    <x v="178"/>
    <s v="TNCUST0227"/>
    <x v="139"/>
    <s v="Hosur"/>
    <x v="9"/>
    <s v="Male"/>
    <n v="35"/>
    <s v="18-25"/>
    <x v="4"/>
    <x v="17"/>
    <n v="2"/>
    <n v="3240"/>
    <n v="25"/>
    <n v="0.25"/>
    <n v="1620"/>
    <n v="4860"/>
    <n v="115"/>
    <n v="4975"/>
    <x v="1"/>
    <x v="2"/>
    <x v="0"/>
    <n v="6"/>
    <n v="5"/>
  </r>
  <r>
    <x v="179"/>
    <s v="TNCUST0198"/>
    <x v="140"/>
    <s v="Salem"/>
    <x v="11"/>
    <s v="Male"/>
    <n v="34"/>
    <s v="56+"/>
    <x v="3"/>
    <x v="13"/>
    <n v="3"/>
    <n v="1625"/>
    <n v="15"/>
    <n v="0.15"/>
    <n v="731.25"/>
    <n v="4143.75"/>
    <n v="62"/>
    <n v="4205.75"/>
    <x v="4"/>
    <x v="0"/>
    <x v="2"/>
    <m/>
    <m/>
  </r>
  <r>
    <x v="180"/>
    <s v="TNCUST0108"/>
    <x v="141"/>
    <s v="Coimbatore"/>
    <x v="2"/>
    <s v="Male"/>
    <n v="59"/>
    <s v="36-45"/>
    <x v="4"/>
    <x v="29"/>
    <n v="1"/>
    <n v="500"/>
    <n v="15"/>
    <n v="0.15"/>
    <n v="75"/>
    <n v="425"/>
    <n v="65"/>
    <n v="490"/>
    <x v="2"/>
    <x v="2"/>
    <x v="4"/>
    <m/>
    <m/>
  </r>
  <r>
    <x v="181"/>
    <s v="TNCUST0225"/>
    <x v="142"/>
    <s v="Karur"/>
    <x v="10"/>
    <s v="Female"/>
    <n v="43"/>
    <s v="36-45"/>
    <x v="1"/>
    <x v="19"/>
    <n v="3"/>
    <n v="5915"/>
    <n v="0"/>
    <n v="0"/>
    <n v="0"/>
    <n v="17745"/>
    <n v="225"/>
    <n v="17970"/>
    <x v="1"/>
    <x v="2"/>
    <x v="0"/>
    <n v="1"/>
    <n v="3"/>
  </r>
  <r>
    <x v="182"/>
    <s v="TNCUST0198"/>
    <x v="140"/>
    <s v="Coimbatore"/>
    <x v="2"/>
    <s v="Male"/>
    <n v="49"/>
    <s v="56+"/>
    <x v="3"/>
    <x v="6"/>
    <n v="1"/>
    <n v="3363"/>
    <n v="25"/>
    <n v="0.25"/>
    <n v="840.75"/>
    <n v="2522.25"/>
    <n v="138"/>
    <n v="2660.25"/>
    <x v="2"/>
    <x v="1"/>
    <x v="1"/>
    <n v="5"/>
    <m/>
  </r>
  <r>
    <x v="183"/>
    <s v="TNCUST0061"/>
    <x v="7"/>
    <s v="Chennai"/>
    <x v="14"/>
    <s v="Female"/>
    <n v="31"/>
    <s v="46-55"/>
    <x v="2"/>
    <x v="2"/>
    <n v="2"/>
    <n v="1452"/>
    <n v="25"/>
    <n v="0.25"/>
    <n v="726"/>
    <n v="2178"/>
    <n v="208"/>
    <n v="2386"/>
    <x v="0"/>
    <x v="1"/>
    <x v="0"/>
    <n v="1"/>
    <n v="4.5"/>
  </r>
  <r>
    <x v="184"/>
    <s v="TNCUST0152"/>
    <x v="143"/>
    <s v="Hosur"/>
    <x v="9"/>
    <s v="Other"/>
    <n v="43"/>
    <s v="18-25"/>
    <x v="5"/>
    <x v="10"/>
    <n v="1"/>
    <n v="7067"/>
    <n v="0"/>
    <n v="0"/>
    <n v="0"/>
    <n v="7067"/>
    <n v="149"/>
    <n v="7216"/>
    <x v="5"/>
    <x v="0"/>
    <x v="0"/>
    <n v="6"/>
    <n v="3"/>
  </r>
  <r>
    <x v="185"/>
    <s v="TNCUST0040"/>
    <x v="48"/>
    <s v="Madurai"/>
    <x v="3"/>
    <s v="Male"/>
    <n v="55"/>
    <s v="26-35"/>
    <x v="4"/>
    <x v="12"/>
    <n v="3"/>
    <n v="3619"/>
    <n v="5"/>
    <n v="0.05"/>
    <n v="542.85"/>
    <n v="10314.15"/>
    <n v="71"/>
    <n v="10385.15"/>
    <x v="5"/>
    <x v="2"/>
    <x v="0"/>
    <n v="7"/>
    <n v="3"/>
  </r>
  <r>
    <x v="186"/>
    <s v="TNCUST0056"/>
    <x v="144"/>
    <s v="Tirunelveli"/>
    <x v="6"/>
    <s v="Female"/>
    <n v="56"/>
    <s v="26-35"/>
    <x v="2"/>
    <x v="2"/>
    <n v="5"/>
    <n v="1342"/>
    <n v="0"/>
    <n v="0"/>
    <n v="0"/>
    <n v="6710"/>
    <n v="226"/>
    <n v="6936"/>
    <x v="0"/>
    <x v="0"/>
    <x v="0"/>
    <n v="3"/>
    <n v="3"/>
  </r>
  <r>
    <x v="187"/>
    <s v="TNCUST0064"/>
    <x v="145"/>
    <s v="Tiruchirappalli"/>
    <x v="1"/>
    <s v="Male"/>
    <n v="53"/>
    <s v="46-55"/>
    <x v="5"/>
    <x v="21"/>
    <n v="5"/>
    <n v="5196"/>
    <n v="0"/>
    <n v="0"/>
    <n v="0"/>
    <n v="25980"/>
    <n v="238"/>
    <n v="26218"/>
    <x v="0"/>
    <x v="1"/>
    <x v="3"/>
    <m/>
    <m/>
  </r>
  <r>
    <x v="188"/>
    <s v="TNCUST0017"/>
    <x v="35"/>
    <s v="Coimbatore"/>
    <x v="2"/>
    <s v="Male"/>
    <n v="22"/>
    <s v="46-55"/>
    <x v="0"/>
    <x v="0"/>
    <n v="2"/>
    <n v="17933"/>
    <n v="25"/>
    <n v="0.25"/>
    <n v="8966.5"/>
    <n v="26899.5"/>
    <n v="170"/>
    <n v="27069.5"/>
    <x v="2"/>
    <x v="1"/>
    <x v="0"/>
    <n v="7"/>
    <n v="3"/>
  </r>
  <r>
    <x v="189"/>
    <s v="TNCUST0091"/>
    <x v="6"/>
    <s v="Karur"/>
    <x v="10"/>
    <s v="Male"/>
    <n v="45"/>
    <s v="26-35"/>
    <x v="5"/>
    <x v="10"/>
    <n v="1"/>
    <n v="3052"/>
    <n v="25"/>
    <n v="0.25"/>
    <n v="763"/>
    <n v="2289"/>
    <n v="27"/>
    <n v="2316"/>
    <x v="1"/>
    <x v="2"/>
    <x v="0"/>
    <n v="6"/>
    <n v="3.5"/>
  </r>
  <r>
    <x v="190"/>
    <s v="TNCUST0052"/>
    <x v="146"/>
    <s v="Vellore"/>
    <x v="5"/>
    <s v="Other"/>
    <n v="26"/>
    <s v="56+"/>
    <x v="4"/>
    <x v="17"/>
    <n v="5"/>
    <n v="5702"/>
    <n v="20"/>
    <n v="0.2"/>
    <n v="5702"/>
    <n v="22808"/>
    <n v="42"/>
    <n v="22850"/>
    <x v="2"/>
    <x v="0"/>
    <x v="0"/>
    <n v="4"/>
    <n v="4"/>
  </r>
  <r>
    <x v="191"/>
    <s v="TNCUST0153"/>
    <x v="147"/>
    <s v="Nagercoil"/>
    <x v="13"/>
    <s v="Male"/>
    <n v="19"/>
    <s v="18-25"/>
    <x v="3"/>
    <x v="13"/>
    <n v="4"/>
    <n v="1559"/>
    <n v="20"/>
    <n v="0.2"/>
    <n v="1247.2"/>
    <n v="4988.8"/>
    <n v="119"/>
    <n v="5107.8"/>
    <x v="1"/>
    <x v="1"/>
    <x v="0"/>
    <n v="2"/>
    <n v="4"/>
  </r>
  <r>
    <x v="192"/>
    <s v="TNCUST0217"/>
    <x v="4"/>
    <s v="Nagercoil"/>
    <x v="13"/>
    <s v="Female"/>
    <n v="32"/>
    <s v="36-45"/>
    <x v="2"/>
    <x v="9"/>
    <n v="3"/>
    <n v="1095"/>
    <n v="10"/>
    <n v="0.1"/>
    <n v="328.5"/>
    <n v="2956.5"/>
    <n v="222"/>
    <n v="3178.5"/>
    <x v="2"/>
    <x v="1"/>
    <x v="0"/>
    <n v="7"/>
    <n v="4.5"/>
  </r>
  <r>
    <x v="193"/>
    <s v="TNCUST0045"/>
    <x v="148"/>
    <s v="Tiruchirappalli"/>
    <x v="1"/>
    <s v="Female"/>
    <n v="37"/>
    <s v="18-25"/>
    <x v="3"/>
    <x v="5"/>
    <n v="3"/>
    <n v="732"/>
    <n v="5"/>
    <n v="0.05"/>
    <n v="109.8"/>
    <n v="2086.1999999999998"/>
    <n v="227"/>
    <n v="2313.1999999999998"/>
    <x v="0"/>
    <x v="1"/>
    <x v="2"/>
    <m/>
    <m/>
  </r>
  <r>
    <x v="194"/>
    <s v="TNCUST0016"/>
    <x v="149"/>
    <s v="Tiruchirappalli"/>
    <x v="1"/>
    <s v="Male"/>
    <n v="38"/>
    <s v="26-35"/>
    <x v="3"/>
    <x v="4"/>
    <n v="1"/>
    <n v="3909"/>
    <n v="5"/>
    <n v="0.05"/>
    <n v="195.45"/>
    <n v="3713.55"/>
    <n v="107"/>
    <n v="3820.55"/>
    <x v="3"/>
    <x v="0"/>
    <x v="2"/>
    <m/>
    <m/>
  </r>
  <r>
    <x v="195"/>
    <s v="TNCUST0246"/>
    <x v="94"/>
    <s v="Karur"/>
    <x v="10"/>
    <s v="Female"/>
    <n v="45"/>
    <s v="36-45"/>
    <x v="4"/>
    <x v="17"/>
    <n v="5"/>
    <n v="994"/>
    <n v="10"/>
    <n v="0.1"/>
    <n v="497"/>
    <n v="4473"/>
    <n v="54"/>
    <n v="4527"/>
    <x v="2"/>
    <x v="0"/>
    <x v="0"/>
    <n v="6"/>
    <n v="5"/>
  </r>
  <r>
    <x v="196"/>
    <s v="TNCUST0243"/>
    <x v="149"/>
    <s v="Thoothukudi"/>
    <x v="12"/>
    <s v="Other"/>
    <n v="18"/>
    <s v="56+"/>
    <x v="1"/>
    <x v="1"/>
    <n v="3"/>
    <n v="2913"/>
    <n v="25"/>
    <n v="0.25"/>
    <n v="2184.75"/>
    <n v="6554.25"/>
    <n v="52"/>
    <n v="6606.25"/>
    <x v="5"/>
    <x v="0"/>
    <x v="1"/>
    <n v="6"/>
    <m/>
  </r>
  <r>
    <x v="197"/>
    <s v="TNCUST0163"/>
    <x v="150"/>
    <s v="Chennai"/>
    <x v="14"/>
    <s v="Male"/>
    <n v="38"/>
    <s v="36-45"/>
    <x v="4"/>
    <x v="29"/>
    <n v="3"/>
    <n v="5639"/>
    <n v="5"/>
    <n v="0.05"/>
    <n v="845.85"/>
    <n v="16071.15"/>
    <n v="39"/>
    <n v="16110.15"/>
    <x v="5"/>
    <x v="1"/>
    <x v="0"/>
    <n v="3"/>
    <n v="3.5"/>
  </r>
  <r>
    <x v="198"/>
    <s v="TNCUST0090"/>
    <x v="151"/>
    <s v="Salem"/>
    <x v="11"/>
    <s v="Other"/>
    <n v="42"/>
    <s v="46-55"/>
    <x v="4"/>
    <x v="7"/>
    <n v="1"/>
    <n v="2502"/>
    <n v="15"/>
    <n v="0.15"/>
    <n v="375.3"/>
    <n v="2126.6999999999998"/>
    <n v="62"/>
    <n v="2188.6999999999998"/>
    <x v="0"/>
    <x v="2"/>
    <x v="1"/>
    <n v="4"/>
    <m/>
  </r>
  <r>
    <x v="199"/>
    <s v="TNCUST0042"/>
    <x v="152"/>
    <s v="Nagercoil"/>
    <x v="13"/>
    <s v="Other"/>
    <n v="42"/>
    <s v="18-25"/>
    <x v="3"/>
    <x v="4"/>
    <n v="2"/>
    <n v="232"/>
    <n v="10"/>
    <n v="0.1"/>
    <n v="46.4"/>
    <n v="417.6"/>
    <n v="38"/>
    <n v="455.6"/>
    <x v="3"/>
    <x v="1"/>
    <x v="3"/>
    <m/>
    <m/>
  </r>
  <r>
    <x v="200"/>
    <s v="TNCUST0237"/>
    <x v="153"/>
    <s v="Tirunelveli"/>
    <x v="6"/>
    <s v="Other"/>
    <n v="53"/>
    <s v="56+"/>
    <x v="3"/>
    <x v="15"/>
    <n v="4"/>
    <n v="793"/>
    <n v="0"/>
    <n v="0"/>
    <n v="0"/>
    <n v="3172"/>
    <n v="68"/>
    <n v="3240"/>
    <x v="1"/>
    <x v="0"/>
    <x v="0"/>
    <n v="6"/>
    <n v="5"/>
  </r>
  <r>
    <x v="201"/>
    <s v="TNCUST0161"/>
    <x v="154"/>
    <s v="Salem"/>
    <x v="11"/>
    <s v="Other"/>
    <n v="36"/>
    <s v="46-55"/>
    <x v="5"/>
    <x v="27"/>
    <n v="1"/>
    <n v="9667"/>
    <n v="5"/>
    <n v="0.05"/>
    <n v="483.35"/>
    <n v="9183.65"/>
    <n v="20"/>
    <n v="9203.65"/>
    <x v="2"/>
    <x v="1"/>
    <x v="0"/>
    <n v="1"/>
    <n v="5"/>
  </r>
  <r>
    <x v="202"/>
    <s v="TNCUST0100"/>
    <x v="42"/>
    <s v="Chennai"/>
    <x v="14"/>
    <s v="Male"/>
    <n v="59"/>
    <s v="36-45"/>
    <x v="4"/>
    <x v="7"/>
    <n v="3"/>
    <n v="4279"/>
    <n v="15"/>
    <n v="0.15"/>
    <n v="1925.55"/>
    <n v="10911.45"/>
    <n v="189"/>
    <n v="11100.45"/>
    <x v="5"/>
    <x v="2"/>
    <x v="0"/>
    <n v="1"/>
    <n v="4.5"/>
  </r>
  <r>
    <x v="203"/>
    <s v="TNCUST0172"/>
    <x v="155"/>
    <s v="Madurai"/>
    <x v="3"/>
    <s v="Female"/>
    <n v="24"/>
    <s v="56+"/>
    <x v="2"/>
    <x v="2"/>
    <n v="3"/>
    <n v="1006"/>
    <n v="20"/>
    <n v="0.2"/>
    <n v="603.6"/>
    <n v="2414.4"/>
    <n v="212"/>
    <n v="2626.4"/>
    <x v="5"/>
    <x v="0"/>
    <x v="0"/>
    <n v="6"/>
    <n v="3"/>
  </r>
  <r>
    <x v="204"/>
    <s v="TNCUST0147"/>
    <x v="156"/>
    <s v="Tiruchirappalli"/>
    <x v="1"/>
    <s v="Other"/>
    <n v="20"/>
    <s v="56+"/>
    <x v="3"/>
    <x v="13"/>
    <n v="4"/>
    <n v="2495"/>
    <n v="5"/>
    <n v="0.05"/>
    <n v="499"/>
    <n v="9481"/>
    <n v="40"/>
    <n v="9521"/>
    <x v="4"/>
    <x v="0"/>
    <x v="0"/>
    <n v="7"/>
    <n v="4.5"/>
  </r>
  <r>
    <x v="205"/>
    <s v="TNCUST0038"/>
    <x v="157"/>
    <s v="Madurai"/>
    <x v="3"/>
    <s v="Other"/>
    <n v="58"/>
    <s v="36-45"/>
    <x v="0"/>
    <x v="28"/>
    <n v="2"/>
    <n v="22710"/>
    <n v="0"/>
    <n v="0"/>
    <n v="0"/>
    <n v="45420"/>
    <n v="131"/>
    <n v="45551"/>
    <x v="1"/>
    <x v="0"/>
    <x v="3"/>
    <m/>
    <m/>
  </r>
  <r>
    <x v="206"/>
    <s v="TNCUST0134"/>
    <x v="158"/>
    <s v="Karur"/>
    <x v="10"/>
    <s v="Female"/>
    <n v="57"/>
    <s v="18-25"/>
    <x v="0"/>
    <x v="0"/>
    <n v="4"/>
    <n v="73723"/>
    <n v="20"/>
    <n v="0.2"/>
    <n v="58978.400000000001"/>
    <n v="235913.60000000001"/>
    <n v="243"/>
    <n v="236156.6"/>
    <x v="5"/>
    <x v="1"/>
    <x v="0"/>
    <n v="7"/>
    <n v="4.5"/>
  </r>
  <r>
    <x v="207"/>
    <s v="TNCUST0168"/>
    <x v="19"/>
    <s v="Madurai"/>
    <x v="3"/>
    <s v="Female"/>
    <n v="42"/>
    <s v="56+"/>
    <x v="3"/>
    <x v="15"/>
    <n v="5"/>
    <n v="3368"/>
    <n v="20"/>
    <n v="0.2"/>
    <n v="3368"/>
    <n v="13472"/>
    <n v="244"/>
    <n v="13716"/>
    <x v="3"/>
    <x v="2"/>
    <x v="4"/>
    <m/>
    <m/>
  </r>
  <r>
    <x v="208"/>
    <s v="TNCUST0006"/>
    <x v="128"/>
    <s v="Chennai"/>
    <x v="14"/>
    <s v="Female"/>
    <n v="41"/>
    <s v="36-45"/>
    <x v="4"/>
    <x v="12"/>
    <n v="4"/>
    <n v="5464"/>
    <n v="10"/>
    <n v="0.1"/>
    <n v="2185.6"/>
    <n v="19670.400000000001"/>
    <n v="32"/>
    <n v="19702.400000000001"/>
    <x v="1"/>
    <x v="2"/>
    <x v="1"/>
    <n v="3"/>
    <m/>
  </r>
  <r>
    <x v="209"/>
    <s v="TNCUST0190"/>
    <x v="159"/>
    <s v="Kanchipuram"/>
    <x v="7"/>
    <s v="Female"/>
    <n v="31"/>
    <s v="56+"/>
    <x v="2"/>
    <x v="2"/>
    <n v="2"/>
    <n v="1394"/>
    <n v="15"/>
    <n v="0.15"/>
    <n v="418.2"/>
    <n v="2369.8000000000002"/>
    <n v="42"/>
    <n v="2411.8000000000002"/>
    <x v="1"/>
    <x v="1"/>
    <x v="0"/>
    <n v="4"/>
    <n v="4"/>
  </r>
  <r>
    <x v="210"/>
    <s v="TNCUST0009"/>
    <x v="125"/>
    <s v="Thoothukudi"/>
    <x v="12"/>
    <s v="Female"/>
    <n v="21"/>
    <s v="18-25"/>
    <x v="4"/>
    <x v="17"/>
    <n v="3"/>
    <n v="3704"/>
    <n v="0"/>
    <n v="0"/>
    <n v="0"/>
    <n v="11112"/>
    <n v="244"/>
    <n v="11356"/>
    <x v="1"/>
    <x v="0"/>
    <x v="0"/>
    <n v="7"/>
    <n v="3.5"/>
  </r>
  <r>
    <x v="211"/>
    <s v="TNCUST0089"/>
    <x v="160"/>
    <s v="Tiruchirappalli"/>
    <x v="1"/>
    <s v="Male"/>
    <n v="53"/>
    <s v="36-45"/>
    <x v="5"/>
    <x v="26"/>
    <n v="4"/>
    <n v="2329"/>
    <n v="15"/>
    <n v="0.15"/>
    <n v="1397.4"/>
    <n v="7918.6"/>
    <n v="65"/>
    <n v="7983.6"/>
    <x v="4"/>
    <x v="0"/>
    <x v="0"/>
    <n v="5"/>
    <n v="4"/>
  </r>
  <r>
    <x v="212"/>
    <s v="TNCUST0006"/>
    <x v="161"/>
    <s v="Coimbatore"/>
    <x v="2"/>
    <s v="Other"/>
    <n v="44"/>
    <s v="18-25"/>
    <x v="5"/>
    <x v="10"/>
    <n v="4"/>
    <n v="9675"/>
    <n v="25"/>
    <n v="0.25"/>
    <n v="9675"/>
    <n v="29025"/>
    <n v="72"/>
    <n v="29097"/>
    <x v="5"/>
    <x v="1"/>
    <x v="0"/>
    <n v="6"/>
    <n v="4.5"/>
  </r>
  <r>
    <x v="213"/>
    <s v="TNCUST0078"/>
    <x v="39"/>
    <s v="Dindigul"/>
    <x v="0"/>
    <s v="Other"/>
    <n v="47"/>
    <s v="56+"/>
    <x v="4"/>
    <x v="29"/>
    <n v="1"/>
    <n v="2467"/>
    <n v="15"/>
    <n v="0.15"/>
    <n v="370.05"/>
    <n v="2096.9499999999998"/>
    <n v="137"/>
    <n v="2233.9499999999998"/>
    <x v="3"/>
    <x v="2"/>
    <x v="2"/>
    <m/>
    <m/>
  </r>
  <r>
    <x v="214"/>
    <s v="TNCUST0168"/>
    <x v="162"/>
    <s v="Thanjavur"/>
    <x v="4"/>
    <s v="Other"/>
    <n v="35"/>
    <s v="36-45"/>
    <x v="0"/>
    <x v="0"/>
    <n v="5"/>
    <n v="49851"/>
    <n v="15"/>
    <n v="0.15"/>
    <n v="37388.25"/>
    <n v="211866.75"/>
    <n v="90"/>
    <n v="211956.75"/>
    <x v="2"/>
    <x v="1"/>
    <x v="0"/>
    <n v="3"/>
    <n v="4"/>
  </r>
  <r>
    <x v="215"/>
    <s v="TNCUST0189"/>
    <x v="35"/>
    <s v="Thoothukudi"/>
    <x v="12"/>
    <s v="Male"/>
    <n v="43"/>
    <s v="56+"/>
    <x v="4"/>
    <x v="17"/>
    <n v="5"/>
    <n v="5811"/>
    <n v="25"/>
    <n v="0.25"/>
    <n v="7263.75"/>
    <n v="21791.25"/>
    <n v="95"/>
    <n v="21886.25"/>
    <x v="4"/>
    <x v="0"/>
    <x v="0"/>
    <n v="4"/>
    <n v="4"/>
  </r>
  <r>
    <x v="216"/>
    <s v="TNCUST0025"/>
    <x v="58"/>
    <s v="Kanchipuram"/>
    <x v="7"/>
    <s v="Female"/>
    <n v="36"/>
    <s v="26-35"/>
    <x v="4"/>
    <x v="12"/>
    <n v="2"/>
    <n v="5629"/>
    <n v="5"/>
    <n v="0.05"/>
    <n v="562.9"/>
    <n v="10695.1"/>
    <n v="244"/>
    <n v="10939.1"/>
    <x v="4"/>
    <x v="2"/>
    <x v="2"/>
    <m/>
    <m/>
  </r>
  <r>
    <x v="217"/>
    <s v="TNCUST0076"/>
    <x v="50"/>
    <s v="Hosur"/>
    <x v="9"/>
    <s v="Female"/>
    <n v="34"/>
    <s v="18-25"/>
    <x v="3"/>
    <x v="4"/>
    <n v="3"/>
    <n v="3198"/>
    <n v="10"/>
    <n v="0.1"/>
    <n v="959.4"/>
    <n v="8634.6"/>
    <n v="247"/>
    <n v="8881.6"/>
    <x v="5"/>
    <x v="1"/>
    <x v="0"/>
    <n v="3"/>
    <n v="4.5"/>
  </r>
  <r>
    <x v="218"/>
    <s v="TNCUST0052"/>
    <x v="151"/>
    <s v="Kanchipuram"/>
    <x v="7"/>
    <s v="Female"/>
    <n v="27"/>
    <s v="46-55"/>
    <x v="1"/>
    <x v="1"/>
    <n v="5"/>
    <n v="7506"/>
    <n v="25"/>
    <n v="0.25"/>
    <n v="9382.5"/>
    <n v="28147.5"/>
    <n v="96"/>
    <n v="28243.5"/>
    <x v="3"/>
    <x v="2"/>
    <x v="0"/>
    <n v="1"/>
    <n v="3.5"/>
  </r>
  <r>
    <x v="219"/>
    <s v="TNCUST0202"/>
    <x v="24"/>
    <s v="Madurai"/>
    <x v="3"/>
    <s v="Male"/>
    <n v="28"/>
    <s v="26-35"/>
    <x v="5"/>
    <x v="27"/>
    <n v="1"/>
    <n v="3197"/>
    <n v="0"/>
    <n v="0"/>
    <n v="0"/>
    <n v="3197"/>
    <n v="73"/>
    <n v="3270"/>
    <x v="3"/>
    <x v="2"/>
    <x v="0"/>
    <n v="5"/>
    <n v="4"/>
  </r>
  <r>
    <x v="220"/>
    <s v="TNCUST0005"/>
    <x v="163"/>
    <s v="Dindigul"/>
    <x v="0"/>
    <s v="Other"/>
    <n v="51"/>
    <s v="18-25"/>
    <x v="2"/>
    <x v="18"/>
    <n v="4"/>
    <n v="234"/>
    <n v="25"/>
    <n v="0.25"/>
    <n v="234"/>
    <n v="702"/>
    <n v="23"/>
    <n v="725"/>
    <x v="4"/>
    <x v="0"/>
    <x v="0"/>
    <n v="7"/>
    <n v="3.5"/>
  </r>
  <r>
    <x v="221"/>
    <s v="TNCUST0134"/>
    <x v="164"/>
    <s v="Tiruchirappalli"/>
    <x v="1"/>
    <s v="Other"/>
    <n v="47"/>
    <s v="56+"/>
    <x v="4"/>
    <x v="12"/>
    <n v="3"/>
    <n v="1241"/>
    <n v="5"/>
    <n v="0.05"/>
    <n v="186.15"/>
    <n v="3536.85"/>
    <n v="31"/>
    <n v="3567.85"/>
    <x v="1"/>
    <x v="2"/>
    <x v="0"/>
    <n v="3"/>
    <n v="5"/>
  </r>
  <r>
    <x v="222"/>
    <s v="TNCUST0130"/>
    <x v="165"/>
    <s v="Karur"/>
    <x v="10"/>
    <s v="Male"/>
    <n v="19"/>
    <s v="18-25"/>
    <x v="1"/>
    <x v="20"/>
    <n v="3"/>
    <n v="7921"/>
    <n v="15"/>
    <n v="0.15"/>
    <n v="3564.45"/>
    <n v="20198.55"/>
    <n v="77"/>
    <n v="20275.55"/>
    <x v="1"/>
    <x v="0"/>
    <x v="0"/>
    <n v="2"/>
    <n v="4.5"/>
  </r>
  <r>
    <x v="223"/>
    <s v="TNCUST0114"/>
    <x v="166"/>
    <s v="Dindigul"/>
    <x v="0"/>
    <s v="Female"/>
    <n v="44"/>
    <s v="18-25"/>
    <x v="0"/>
    <x v="28"/>
    <n v="3"/>
    <n v="70888"/>
    <n v="25"/>
    <n v="0.25"/>
    <n v="53166"/>
    <n v="159498"/>
    <n v="32"/>
    <n v="159530"/>
    <x v="3"/>
    <x v="2"/>
    <x v="2"/>
    <m/>
    <m/>
  </r>
  <r>
    <x v="224"/>
    <s v="TNCUST0131"/>
    <x v="56"/>
    <s v="Vellore"/>
    <x v="5"/>
    <s v="Other"/>
    <n v="24"/>
    <s v="56+"/>
    <x v="1"/>
    <x v="20"/>
    <n v="2"/>
    <n v="4662"/>
    <n v="10"/>
    <n v="0.1"/>
    <n v="932.4"/>
    <n v="8391.6"/>
    <n v="199"/>
    <n v="8590.6"/>
    <x v="0"/>
    <x v="2"/>
    <x v="1"/>
    <n v="4"/>
    <m/>
  </r>
  <r>
    <x v="225"/>
    <s v="TNCUST0239"/>
    <x v="167"/>
    <s v="Coimbatore"/>
    <x v="2"/>
    <s v="Female"/>
    <n v="31"/>
    <s v="36-45"/>
    <x v="0"/>
    <x v="28"/>
    <n v="2"/>
    <n v="26981"/>
    <n v="15"/>
    <n v="0.15"/>
    <n v="8094.3"/>
    <n v="45867.7"/>
    <n v="30"/>
    <n v="45897.7"/>
    <x v="2"/>
    <x v="1"/>
    <x v="0"/>
    <n v="4"/>
    <n v="5"/>
  </r>
  <r>
    <x v="226"/>
    <s v="TNCUST0068"/>
    <x v="168"/>
    <s v="Chennai"/>
    <x v="14"/>
    <s v="Female"/>
    <n v="47"/>
    <s v="18-25"/>
    <x v="1"/>
    <x v="24"/>
    <n v="1"/>
    <n v="6327"/>
    <n v="25"/>
    <n v="0.25"/>
    <n v="1581.75"/>
    <n v="4745.25"/>
    <n v="85"/>
    <n v="4830.25"/>
    <x v="0"/>
    <x v="1"/>
    <x v="0"/>
    <n v="2"/>
    <n v="4"/>
  </r>
  <r>
    <x v="227"/>
    <s v="TNCUST0092"/>
    <x v="169"/>
    <s v="Kanchipuram"/>
    <x v="7"/>
    <s v="Female"/>
    <n v="28"/>
    <s v="56+"/>
    <x v="0"/>
    <x v="25"/>
    <n v="3"/>
    <n v="41787"/>
    <n v="0"/>
    <n v="0"/>
    <n v="0"/>
    <n v="125361"/>
    <n v="55"/>
    <n v="125416"/>
    <x v="1"/>
    <x v="0"/>
    <x v="0"/>
    <n v="6"/>
    <n v="4"/>
  </r>
  <r>
    <x v="228"/>
    <s v="TNCUST0029"/>
    <x v="170"/>
    <s v="Coimbatore"/>
    <x v="2"/>
    <s v="Male"/>
    <n v="28"/>
    <s v="18-25"/>
    <x v="5"/>
    <x v="26"/>
    <n v="2"/>
    <n v="6857"/>
    <n v="15"/>
    <n v="0.15"/>
    <n v="2057.1"/>
    <n v="11656.9"/>
    <n v="142"/>
    <n v="11798.9"/>
    <x v="2"/>
    <x v="1"/>
    <x v="1"/>
    <n v="6"/>
    <m/>
  </r>
  <r>
    <x v="229"/>
    <s v="TNCUST0029"/>
    <x v="18"/>
    <s v="Erode"/>
    <x v="8"/>
    <s v="Female"/>
    <n v="49"/>
    <s v="46-55"/>
    <x v="3"/>
    <x v="6"/>
    <n v="5"/>
    <n v="2654"/>
    <n v="25"/>
    <n v="0.25"/>
    <n v="3317.5"/>
    <n v="9952.5"/>
    <n v="206"/>
    <n v="10158.5"/>
    <x v="0"/>
    <x v="1"/>
    <x v="4"/>
    <m/>
    <m/>
  </r>
  <r>
    <x v="230"/>
    <s v="TNCUST0170"/>
    <x v="171"/>
    <s v="Salem"/>
    <x v="11"/>
    <s v="Other"/>
    <n v="24"/>
    <s v="26-35"/>
    <x v="1"/>
    <x v="19"/>
    <n v="1"/>
    <n v="7552"/>
    <n v="10"/>
    <n v="0.1"/>
    <n v="755.2"/>
    <n v="6796.8"/>
    <n v="196"/>
    <n v="6992.8"/>
    <x v="5"/>
    <x v="2"/>
    <x v="0"/>
    <n v="5"/>
    <n v="4"/>
  </r>
  <r>
    <x v="231"/>
    <s v="TNCUST0020"/>
    <x v="172"/>
    <s v="Dindigul"/>
    <x v="0"/>
    <s v="Female"/>
    <n v="28"/>
    <s v="36-45"/>
    <x v="1"/>
    <x v="11"/>
    <n v="2"/>
    <n v="1685"/>
    <n v="20"/>
    <n v="0.2"/>
    <n v="674"/>
    <n v="2696"/>
    <n v="238"/>
    <n v="2934"/>
    <x v="2"/>
    <x v="2"/>
    <x v="2"/>
    <m/>
    <m/>
  </r>
  <r>
    <x v="232"/>
    <s v="TNCUST0115"/>
    <x v="173"/>
    <s v="Salem"/>
    <x v="11"/>
    <s v="Female"/>
    <n v="23"/>
    <s v="18-25"/>
    <x v="0"/>
    <x v="8"/>
    <n v="2"/>
    <n v="72954"/>
    <n v="0"/>
    <n v="0"/>
    <n v="0"/>
    <n v="145908"/>
    <n v="225"/>
    <n v="146133"/>
    <x v="5"/>
    <x v="0"/>
    <x v="0"/>
    <n v="4"/>
    <n v="4"/>
  </r>
  <r>
    <x v="233"/>
    <s v="TNCUST0144"/>
    <x v="174"/>
    <s v="Dindigul"/>
    <x v="0"/>
    <s v="Male"/>
    <n v="50"/>
    <s v="46-55"/>
    <x v="0"/>
    <x v="0"/>
    <n v="4"/>
    <n v="54846"/>
    <n v="0"/>
    <n v="0"/>
    <n v="0"/>
    <n v="219384"/>
    <n v="178"/>
    <n v="219562"/>
    <x v="1"/>
    <x v="2"/>
    <x v="2"/>
    <m/>
    <m/>
  </r>
  <r>
    <x v="234"/>
    <s v="TNCUST0213"/>
    <x v="175"/>
    <s v="Kanchipuram"/>
    <x v="7"/>
    <s v="Other"/>
    <n v="39"/>
    <s v="36-45"/>
    <x v="0"/>
    <x v="3"/>
    <n v="4"/>
    <n v="44312"/>
    <n v="0"/>
    <n v="0"/>
    <n v="0"/>
    <n v="177248"/>
    <n v="188"/>
    <n v="177436"/>
    <x v="3"/>
    <x v="0"/>
    <x v="0"/>
    <n v="1"/>
    <n v="4"/>
  </r>
  <r>
    <x v="235"/>
    <s v="TNCUST0184"/>
    <x v="176"/>
    <s v="Tirunelveli"/>
    <x v="6"/>
    <s v="Female"/>
    <n v="47"/>
    <s v="18-25"/>
    <x v="1"/>
    <x v="24"/>
    <n v="1"/>
    <n v="2483"/>
    <n v="20"/>
    <n v="0.2"/>
    <n v="496.6"/>
    <n v="1986.4"/>
    <n v="50"/>
    <n v="2036.4"/>
    <x v="5"/>
    <x v="1"/>
    <x v="0"/>
    <n v="2"/>
    <n v="3.5"/>
  </r>
  <r>
    <x v="236"/>
    <s v="TNCUST0237"/>
    <x v="87"/>
    <s v="Karur"/>
    <x v="10"/>
    <s v="Other"/>
    <n v="55"/>
    <s v="26-35"/>
    <x v="1"/>
    <x v="1"/>
    <n v="1"/>
    <n v="4486"/>
    <n v="0"/>
    <n v="0"/>
    <n v="0"/>
    <n v="4486"/>
    <n v="32"/>
    <n v="4518"/>
    <x v="4"/>
    <x v="0"/>
    <x v="0"/>
    <n v="4"/>
    <n v="4"/>
  </r>
  <r>
    <x v="237"/>
    <s v="TNCUST0247"/>
    <x v="177"/>
    <s v="Madurai"/>
    <x v="3"/>
    <s v="Female"/>
    <n v="43"/>
    <s v="36-45"/>
    <x v="1"/>
    <x v="20"/>
    <n v="1"/>
    <n v="3551"/>
    <n v="15"/>
    <n v="0.15"/>
    <n v="532.65"/>
    <n v="3018.35"/>
    <n v="197"/>
    <n v="3215.35"/>
    <x v="5"/>
    <x v="1"/>
    <x v="3"/>
    <m/>
    <m/>
  </r>
  <r>
    <x v="238"/>
    <s v="TNCUST0034"/>
    <x v="178"/>
    <s v="Madurai"/>
    <x v="3"/>
    <s v="Other"/>
    <n v="40"/>
    <s v="26-35"/>
    <x v="2"/>
    <x v="9"/>
    <n v="5"/>
    <n v="2347"/>
    <n v="5"/>
    <n v="0.05"/>
    <n v="586.75"/>
    <n v="11148.25"/>
    <n v="202"/>
    <n v="11350.25"/>
    <x v="3"/>
    <x v="0"/>
    <x v="0"/>
    <n v="6"/>
    <n v="5"/>
  </r>
  <r>
    <x v="239"/>
    <s v="TNCUST0134"/>
    <x v="51"/>
    <s v="Hosur"/>
    <x v="9"/>
    <s v="Male"/>
    <n v="45"/>
    <s v="18-25"/>
    <x v="1"/>
    <x v="19"/>
    <n v="1"/>
    <n v="5865"/>
    <n v="25"/>
    <n v="0.25"/>
    <n v="1466.25"/>
    <n v="4398.75"/>
    <n v="211"/>
    <n v="4609.75"/>
    <x v="5"/>
    <x v="1"/>
    <x v="0"/>
    <n v="3"/>
    <n v="3"/>
  </r>
  <r>
    <x v="240"/>
    <s v="TNCUST0009"/>
    <x v="15"/>
    <s v="Chennai"/>
    <x v="14"/>
    <s v="Female"/>
    <n v="52"/>
    <s v="46-55"/>
    <x v="1"/>
    <x v="24"/>
    <n v="2"/>
    <n v="7276"/>
    <n v="0"/>
    <n v="0"/>
    <n v="0"/>
    <n v="14552"/>
    <n v="95"/>
    <n v="14647"/>
    <x v="0"/>
    <x v="0"/>
    <x v="1"/>
    <n v="7"/>
    <m/>
  </r>
  <r>
    <x v="241"/>
    <s v="TNCUST0245"/>
    <x v="179"/>
    <s v="Kanchipuram"/>
    <x v="7"/>
    <s v="Other"/>
    <n v="42"/>
    <s v="36-45"/>
    <x v="1"/>
    <x v="1"/>
    <n v="2"/>
    <n v="6927"/>
    <n v="25"/>
    <n v="0.25"/>
    <n v="3463.5"/>
    <n v="10390.5"/>
    <n v="190"/>
    <n v="10580.5"/>
    <x v="3"/>
    <x v="1"/>
    <x v="0"/>
    <n v="4"/>
    <n v="4"/>
  </r>
  <r>
    <x v="242"/>
    <s v="TNCUST0175"/>
    <x v="180"/>
    <s v="Chennai"/>
    <x v="14"/>
    <s v="Male"/>
    <n v="46"/>
    <s v="26-35"/>
    <x v="1"/>
    <x v="19"/>
    <n v="2"/>
    <n v="6449"/>
    <n v="20"/>
    <n v="0.2"/>
    <n v="2579.6"/>
    <n v="10318.4"/>
    <n v="205"/>
    <n v="10523.4"/>
    <x v="2"/>
    <x v="0"/>
    <x v="0"/>
    <n v="3"/>
    <n v="3.5"/>
  </r>
  <r>
    <x v="243"/>
    <s v="TNCUST0011"/>
    <x v="50"/>
    <s v="Thoothukudi"/>
    <x v="12"/>
    <s v="Male"/>
    <n v="27"/>
    <s v="36-45"/>
    <x v="0"/>
    <x v="28"/>
    <n v="1"/>
    <n v="56965"/>
    <n v="20"/>
    <n v="0.2"/>
    <n v="11393"/>
    <n v="45572"/>
    <n v="21"/>
    <n v="45593"/>
    <x v="3"/>
    <x v="1"/>
    <x v="2"/>
    <m/>
    <m/>
  </r>
  <r>
    <x v="244"/>
    <s v="TNCUST0041"/>
    <x v="181"/>
    <s v="Nagercoil"/>
    <x v="13"/>
    <s v="Female"/>
    <n v="22"/>
    <s v="56+"/>
    <x v="1"/>
    <x v="1"/>
    <n v="3"/>
    <n v="6822"/>
    <n v="25"/>
    <n v="0.25"/>
    <n v="5116.5"/>
    <n v="15349.5"/>
    <n v="76"/>
    <n v="15425.5"/>
    <x v="3"/>
    <x v="2"/>
    <x v="0"/>
    <n v="5"/>
    <n v="4.5"/>
  </r>
  <r>
    <x v="245"/>
    <s v="TNCUST0089"/>
    <x v="135"/>
    <s v="Coimbatore"/>
    <x v="2"/>
    <s v="Female"/>
    <n v="25"/>
    <s v="26-35"/>
    <x v="5"/>
    <x v="27"/>
    <n v="2"/>
    <n v="6211"/>
    <n v="20"/>
    <n v="0.2"/>
    <n v="2484.4"/>
    <n v="9937.6"/>
    <n v="163"/>
    <n v="10100.6"/>
    <x v="4"/>
    <x v="0"/>
    <x v="0"/>
    <n v="1"/>
    <n v="5"/>
  </r>
  <r>
    <x v="246"/>
    <s v="TNCUST0125"/>
    <x v="117"/>
    <s v="Karur"/>
    <x v="10"/>
    <s v="Male"/>
    <n v="50"/>
    <s v="36-45"/>
    <x v="3"/>
    <x v="4"/>
    <n v="1"/>
    <n v="1200"/>
    <n v="25"/>
    <n v="0.25"/>
    <n v="300"/>
    <n v="900"/>
    <n v="152"/>
    <n v="1052"/>
    <x v="4"/>
    <x v="1"/>
    <x v="0"/>
    <n v="5"/>
    <n v="4"/>
  </r>
  <r>
    <x v="247"/>
    <s v="TNCUST0214"/>
    <x v="105"/>
    <s v="Tirunelveli"/>
    <x v="6"/>
    <s v="Male"/>
    <n v="45"/>
    <s v="26-35"/>
    <x v="3"/>
    <x v="13"/>
    <n v="1"/>
    <n v="2717"/>
    <n v="5"/>
    <n v="0.05"/>
    <n v="135.85"/>
    <n v="2581.15"/>
    <n v="218"/>
    <n v="2799.15"/>
    <x v="3"/>
    <x v="0"/>
    <x v="1"/>
    <n v="7"/>
    <m/>
  </r>
  <r>
    <x v="248"/>
    <s v="TNCUST0211"/>
    <x v="182"/>
    <s v="Karur"/>
    <x v="10"/>
    <s v="Male"/>
    <n v="22"/>
    <s v="36-45"/>
    <x v="1"/>
    <x v="11"/>
    <n v="1"/>
    <n v="1116"/>
    <n v="0"/>
    <n v="0"/>
    <n v="0"/>
    <n v="1116"/>
    <n v="223"/>
    <n v="1339"/>
    <x v="5"/>
    <x v="2"/>
    <x v="0"/>
    <n v="5"/>
    <n v="4.5"/>
  </r>
  <r>
    <x v="249"/>
    <s v="TNCUST0092"/>
    <x v="183"/>
    <s v="Vellore"/>
    <x v="5"/>
    <s v="Other"/>
    <n v="22"/>
    <s v="18-25"/>
    <x v="1"/>
    <x v="11"/>
    <n v="4"/>
    <n v="448"/>
    <n v="25"/>
    <n v="0.25"/>
    <n v="448"/>
    <n v="1344"/>
    <n v="36"/>
    <n v="1380"/>
    <x v="1"/>
    <x v="0"/>
    <x v="1"/>
    <n v="1"/>
    <m/>
  </r>
  <r>
    <x v="250"/>
    <s v="TNCUST0246"/>
    <x v="127"/>
    <s v="Salem"/>
    <x v="11"/>
    <s v="Other"/>
    <n v="52"/>
    <s v="26-35"/>
    <x v="3"/>
    <x v="13"/>
    <n v="3"/>
    <n v="2091"/>
    <n v="20"/>
    <n v="0.2"/>
    <n v="1254.5999999999999"/>
    <n v="5018.3999999999996"/>
    <n v="211"/>
    <n v="5229.3999999999996"/>
    <x v="1"/>
    <x v="0"/>
    <x v="0"/>
    <n v="7"/>
    <n v="4"/>
  </r>
  <r>
    <x v="251"/>
    <s v="TNCUST0192"/>
    <x v="167"/>
    <s v="Karur"/>
    <x v="10"/>
    <s v="Other"/>
    <n v="37"/>
    <s v="36-45"/>
    <x v="1"/>
    <x v="19"/>
    <n v="1"/>
    <n v="441"/>
    <n v="20"/>
    <n v="0.2"/>
    <n v="88.2"/>
    <n v="352.8"/>
    <n v="157"/>
    <n v="509.8"/>
    <x v="2"/>
    <x v="2"/>
    <x v="0"/>
    <n v="1"/>
    <n v="3.5"/>
  </r>
  <r>
    <x v="252"/>
    <s v="TNCUST0119"/>
    <x v="184"/>
    <s v="Karur"/>
    <x v="10"/>
    <s v="Other"/>
    <n v="53"/>
    <s v="56+"/>
    <x v="1"/>
    <x v="1"/>
    <n v="2"/>
    <n v="1338"/>
    <n v="5"/>
    <n v="0.05"/>
    <n v="133.80000000000001"/>
    <n v="2542.1999999999998"/>
    <n v="165"/>
    <n v="2707.2"/>
    <x v="0"/>
    <x v="2"/>
    <x v="1"/>
    <n v="7"/>
    <m/>
  </r>
  <r>
    <x v="253"/>
    <s v="TNCUST0231"/>
    <x v="97"/>
    <s v="Dindigul"/>
    <x v="0"/>
    <s v="Male"/>
    <n v="22"/>
    <s v="36-45"/>
    <x v="0"/>
    <x v="25"/>
    <n v="1"/>
    <n v="26675"/>
    <n v="25"/>
    <n v="0.25"/>
    <n v="6668.75"/>
    <n v="20006.25"/>
    <n v="45"/>
    <n v="20051.25"/>
    <x v="5"/>
    <x v="2"/>
    <x v="1"/>
    <n v="5"/>
    <m/>
  </r>
  <r>
    <x v="254"/>
    <s v="TNCUST0190"/>
    <x v="27"/>
    <s v="Tirunelveli"/>
    <x v="6"/>
    <s v="Other"/>
    <n v="32"/>
    <s v="46-55"/>
    <x v="3"/>
    <x v="5"/>
    <n v="5"/>
    <n v="3458"/>
    <n v="15"/>
    <n v="0.15"/>
    <n v="2593.5"/>
    <n v="14696.5"/>
    <n v="100"/>
    <n v="14796.5"/>
    <x v="1"/>
    <x v="2"/>
    <x v="0"/>
    <n v="7"/>
    <n v="5"/>
  </r>
  <r>
    <x v="255"/>
    <s v="TNCUST0229"/>
    <x v="14"/>
    <s v="Madurai"/>
    <x v="3"/>
    <s v="Other"/>
    <n v="35"/>
    <s v="26-35"/>
    <x v="1"/>
    <x v="19"/>
    <n v="4"/>
    <n v="4919"/>
    <n v="0"/>
    <n v="0"/>
    <n v="0"/>
    <n v="19676"/>
    <n v="175"/>
    <n v="19851"/>
    <x v="1"/>
    <x v="0"/>
    <x v="0"/>
    <n v="7"/>
    <n v="3.5"/>
  </r>
  <r>
    <x v="256"/>
    <s v="TNCUST0121"/>
    <x v="96"/>
    <s v="Karur"/>
    <x v="10"/>
    <s v="Other"/>
    <n v="52"/>
    <s v="26-35"/>
    <x v="1"/>
    <x v="24"/>
    <n v="1"/>
    <n v="3718"/>
    <n v="20"/>
    <n v="0.2"/>
    <n v="743.6"/>
    <n v="2974.4"/>
    <n v="29"/>
    <n v="3003.4"/>
    <x v="1"/>
    <x v="2"/>
    <x v="0"/>
    <n v="3"/>
    <n v="4.5"/>
  </r>
  <r>
    <x v="257"/>
    <s v="TNCUST0036"/>
    <x v="185"/>
    <s v="Tiruchirappalli"/>
    <x v="1"/>
    <s v="Female"/>
    <n v="28"/>
    <s v="26-35"/>
    <x v="3"/>
    <x v="5"/>
    <n v="2"/>
    <n v="1775"/>
    <n v="20"/>
    <n v="0.2"/>
    <n v="710"/>
    <n v="2840"/>
    <n v="81"/>
    <n v="2921"/>
    <x v="2"/>
    <x v="0"/>
    <x v="0"/>
    <n v="6"/>
    <n v="4.5"/>
  </r>
  <r>
    <x v="258"/>
    <s v="TNCUST0100"/>
    <x v="186"/>
    <s v="Thanjavur"/>
    <x v="4"/>
    <s v="Female"/>
    <n v="51"/>
    <s v="46-55"/>
    <x v="1"/>
    <x v="20"/>
    <n v="4"/>
    <n v="914"/>
    <n v="10"/>
    <n v="0.1"/>
    <n v="365.6"/>
    <n v="3290.4"/>
    <n v="30"/>
    <n v="3320.4"/>
    <x v="0"/>
    <x v="1"/>
    <x v="0"/>
    <n v="2"/>
    <n v="4"/>
  </r>
  <r>
    <x v="259"/>
    <s v="TNCUST0133"/>
    <x v="187"/>
    <s v="Dindigul"/>
    <x v="0"/>
    <s v="Female"/>
    <n v="22"/>
    <s v="46-55"/>
    <x v="5"/>
    <x v="10"/>
    <n v="5"/>
    <n v="9780"/>
    <n v="15"/>
    <n v="0.15"/>
    <n v="7335"/>
    <n v="41565"/>
    <n v="113"/>
    <n v="41678"/>
    <x v="2"/>
    <x v="0"/>
    <x v="1"/>
    <n v="6"/>
    <m/>
  </r>
  <r>
    <x v="260"/>
    <s v="TNCUST0039"/>
    <x v="188"/>
    <s v="Erode"/>
    <x v="8"/>
    <s v="Male"/>
    <n v="35"/>
    <s v="26-35"/>
    <x v="5"/>
    <x v="26"/>
    <n v="4"/>
    <n v="408"/>
    <n v="15"/>
    <n v="0.15"/>
    <n v="244.8"/>
    <n v="1387.2"/>
    <n v="39"/>
    <n v="1426.2"/>
    <x v="1"/>
    <x v="0"/>
    <x v="0"/>
    <n v="6"/>
    <n v="3.5"/>
  </r>
  <r>
    <x v="261"/>
    <s v="TNCUST0033"/>
    <x v="19"/>
    <s v="Hosur"/>
    <x v="9"/>
    <s v="Other"/>
    <n v="33"/>
    <s v="56+"/>
    <x v="0"/>
    <x v="3"/>
    <n v="4"/>
    <n v="44083"/>
    <n v="20"/>
    <n v="0.2"/>
    <n v="35266.400000000001"/>
    <n v="141065.60000000001"/>
    <n v="233"/>
    <n v="141298.6"/>
    <x v="2"/>
    <x v="1"/>
    <x v="0"/>
    <n v="1"/>
    <n v="3"/>
  </r>
  <r>
    <x v="262"/>
    <s v="TNCUST0225"/>
    <x v="189"/>
    <s v="Dindigul"/>
    <x v="0"/>
    <s v="Other"/>
    <n v="19"/>
    <s v="36-45"/>
    <x v="3"/>
    <x v="13"/>
    <n v="5"/>
    <n v="3928"/>
    <n v="20"/>
    <n v="0.2"/>
    <n v="3928"/>
    <n v="15712"/>
    <n v="173"/>
    <n v="15885"/>
    <x v="0"/>
    <x v="1"/>
    <x v="3"/>
    <m/>
    <m/>
  </r>
  <r>
    <x v="263"/>
    <s v="TNCUST0237"/>
    <x v="42"/>
    <s v="Vellore"/>
    <x v="5"/>
    <s v="Female"/>
    <n v="39"/>
    <s v="56+"/>
    <x v="3"/>
    <x v="6"/>
    <n v="4"/>
    <n v="3404"/>
    <n v="5"/>
    <n v="0.05"/>
    <n v="680.8"/>
    <n v="12935.2"/>
    <n v="150"/>
    <n v="13085.2"/>
    <x v="3"/>
    <x v="1"/>
    <x v="1"/>
    <n v="2"/>
    <m/>
  </r>
  <r>
    <x v="264"/>
    <s v="TNCUST0046"/>
    <x v="81"/>
    <s v="Tiruchirappalli"/>
    <x v="1"/>
    <s v="Female"/>
    <n v="24"/>
    <s v="56+"/>
    <x v="2"/>
    <x v="18"/>
    <n v="2"/>
    <n v="2221"/>
    <n v="20"/>
    <n v="0.2"/>
    <n v="888.4"/>
    <n v="3553.6"/>
    <n v="231"/>
    <n v="3784.6"/>
    <x v="3"/>
    <x v="1"/>
    <x v="1"/>
    <n v="5"/>
    <m/>
  </r>
  <r>
    <x v="265"/>
    <s v="TNCUST0179"/>
    <x v="170"/>
    <s v="Karur"/>
    <x v="10"/>
    <s v="Other"/>
    <n v="20"/>
    <s v="46-55"/>
    <x v="3"/>
    <x v="15"/>
    <n v="1"/>
    <n v="3539"/>
    <n v="25"/>
    <n v="0.25"/>
    <n v="884.75"/>
    <n v="2654.25"/>
    <n v="153"/>
    <n v="2807.25"/>
    <x v="2"/>
    <x v="2"/>
    <x v="1"/>
    <n v="3"/>
    <m/>
  </r>
  <r>
    <x v="266"/>
    <s v="TNCUST0105"/>
    <x v="97"/>
    <s v="Nagercoil"/>
    <x v="13"/>
    <s v="Female"/>
    <n v="52"/>
    <s v="26-35"/>
    <x v="2"/>
    <x v="14"/>
    <n v="5"/>
    <n v="1122"/>
    <n v="5"/>
    <n v="0.05"/>
    <n v="280.5"/>
    <n v="5329.5"/>
    <n v="41"/>
    <n v="5370.5"/>
    <x v="0"/>
    <x v="0"/>
    <x v="4"/>
    <m/>
    <m/>
  </r>
  <r>
    <x v="267"/>
    <s v="TNCUST0110"/>
    <x v="64"/>
    <s v="Hosur"/>
    <x v="9"/>
    <s v="Other"/>
    <n v="27"/>
    <s v="56+"/>
    <x v="0"/>
    <x v="8"/>
    <n v="5"/>
    <n v="16244"/>
    <n v="25"/>
    <n v="0.25"/>
    <n v="20305"/>
    <n v="60915"/>
    <n v="124"/>
    <n v="61039"/>
    <x v="1"/>
    <x v="2"/>
    <x v="2"/>
    <m/>
    <m/>
  </r>
  <r>
    <x v="268"/>
    <s v="TNCUST0143"/>
    <x v="98"/>
    <s v="Kanchipuram"/>
    <x v="7"/>
    <s v="Female"/>
    <n v="41"/>
    <s v="36-45"/>
    <x v="3"/>
    <x v="6"/>
    <n v="5"/>
    <n v="3242"/>
    <n v="15"/>
    <n v="0.15"/>
    <n v="2431.5"/>
    <n v="13778.5"/>
    <n v="162"/>
    <n v="13940.5"/>
    <x v="1"/>
    <x v="0"/>
    <x v="0"/>
    <n v="2"/>
    <n v="4.5"/>
  </r>
  <r>
    <x v="269"/>
    <s v="TNCUST0100"/>
    <x v="190"/>
    <s v="Tirunelveli"/>
    <x v="6"/>
    <s v="Other"/>
    <n v="21"/>
    <s v="18-25"/>
    <x v="1"/>
    <x v="11"/>
    <n v="2"/>
    <n v="2156"/>
    <n v="20"/>
    <n v="0.2"/>
    <n v="862.4"/>
    <n v="3449.6"/>
    <n v="106"/>
    <n v="3555.6"/>
    <x v="0"/>
    <x v="1"/>
    <x v="0"/>
    <n v="5"/>
    <n v="3.5"/>
  </r>
  <r>
    <x v="270"/>
    <s v="TNCUST0074"/>
    <x v="185"/>
    <s v="Vellore"/>
    <x v="5"/>
    <s v="Other"/>
    <n v="51"/>
    <s v="56+"/>
    <x v="3"/>
    <x v="6"/>
    <n v="1"/>
    <n v="477"/>
    <n v="0"/>
    <n v="0"/>
    <n v="0"/>
    <n v="477"/>
    <n v="122"/>
    <n v="599"/>
    <x v="0"/>
    <x v="1"/>
    <x v="1"/>
    <n v="6"/>
    <m/>
  </r>
  <r>
    <x v="271"/>
    <s v="TNCUST0010"/>
    <x v="37"/>
    <s v="Dindigul"/>
    <x v="0"/>
    <s v="Female"/>
    <n v="28"/>
    <s v="26-35"/>
    <x v="2"/>
    <x v="18"/>
    <n v="1"/>
    <n v="1251"/>
    <n v="20"/>
    <n v="0.2"/>
    <n v="250.2"/>
    <n v="1000.8"/>
    <n v="198"/>
    <n v="1198.8"/>
    <x v="4"/>
    <x v="1"/>
    <x v="0"/>
    <n v="5"/>
    <n v="5"/>
  </r>
  <r>
    <x v="272"/>
    <s v="TNCUST0186"/>
    <x v="191"/>
    <s v="Madurai"/>
    <x v="3"/>
    <s v="Other"/>
    <n v="53"/>
    <s v="56+"/>
    <x v="0"/>
    <x v="25"/>
    <n v="4"/>
    <n v="47085"/>
    <n v="20"/>
    <n v="0.2"/>
    <n v="37668"/>
    <n v="150672"/>
    <n v="200"/>
    <n v="150872"/>
    <x v="1"/>
    <x v="2"/>
    <x v="0"/>
    <n v="1"/>
    <n v="4"/>
  </r>
  <r>
    <x v="273"/>
    <s v="TNCUST0088"/>
    <x v="192"/>
    <s v="Kanchipuram"/>
    <x v="7"/>
    <s v="Male"/>
    <n v="50"/>
    <s v="56+"/>
    <x v="5"/>
    <x v="27"/>
    <n v="5"/>
    <n v="6918"/>
    <n v="5"/>
    <n v="0.05"/>
    <n v="1729.5"/>
    <n v="32860.5"/>
    <n v="47"/>
    <n v="32907.5"/>
    <x v="1"/>
    <x v="0"/>
    <x v="0"/>
    <n v="1"/>
    <n v="4"/>
  </r>
  <r>
    <x v="274"/>
    <s v="TNCUST0124"/>
    <x v="187"/>
    <s v="Kanchipuram"/>
    <x v="7"/>
    <s v="Male"/>
    <n v="19"/>
    <s v="36-45"/>
    <x v="3"/>
    <x v="5"/>
    <n v="4"/>
    <n v="3252"/>
    <n v="15"/>
    <n v="0.15"/>
    <n v="1951.2"/>
    <n v="11056.8"/>
    <n v="249"/>
    <n v="11305.8"/>
    <x v="0"/>
    <x v="2"/>
    <x v="1"/>
    <n v="7"/>
    <m/>
  </r>
  <r>
    <x v="275"/>
    <s v="TNCUST0142"/>
    <x v="193"/>
    <s v="Dindigul"/>
    <x v="0"/>
    <s v="Male"/>
    <n v="39"/>
    <s v="46-55"/>
    <x v="4"/>
    <x v="7"/>
    <n v="3"/>
    <n v="3292"/>
    <n v="10"/>
    <n v="0.1"/>
    <n v="987.6"/>
    <n v="8888.4"/>
    <n v="43"/>
    <n v="8931.4"/>
    <x v="1"/>
    <x v="2"/>
    <x v="0"/>
    <n v="6"/>
    <n v="3"/>
  </r>
  <r>
    <x v="276"/>
    <s v="TNCUST0040"/>
    <x v="177"/>
    <s v="Tiruchirappalli"/>
    <x v="1"/>
    <s v="Male"/>
    <n v="57"/>
    <s v="18-25"/>
    <x v="3"/>
    <x v="5"/>
    <n v="2"/>
    <n v="3162"/>
    <n v="10"/>
    <n v="0.1"/>
    <n v="632.4"/>
    <n v="5691.6"/>
    <n v="71"/>
    <n v="5762.6"/>
    <x v="0"/>
    <x v="0"/>
    <x v="0"/>
    <n v="7"/>
    <n v="4"/>
  </r>
  <r>
    <x v="277"/>
    <s v="TNCUST0126"/>
    <x v="33"/>
    <s v="Dindigul"/>
    <x v="0"/>
    <s v="Male"/>
    <n v="35"/>
    <s v="56+"/>
    <x v="2"/>
    <x v="9"/>
    <n v="1"/>
    <n v="1600"/>
    <n v="15"/>
    <n v="0.15"/>
    <n v="240"/>
    <n v="1360"/>
    <n v="245"/>
    <n v="1605"/>
    <x v="1"/>
    <x v="2"/>
    <x v="4"/>
    <m/>
    <m/>
  </r>
  <r>
    <x v="278"/>
    <s v="TNCUST0133"/>
    <x v="63"/>
    <s v="Tiruchirappalli"/>
    <x v="1"/>
    <s v="Female"/>
    <n v="25"/>
    <s v="36-45"/>
    <x v="3"/>
    <x v="4"/>
    <n v="1"/>
    <n v="283"/>
    <n v="10"/>
    <n v="0.1"/>
    <n v="28.3"/>
    <n v="254.7"/>
    <n v="195"/>
    <n v="449.7"/>
    <x v="4"/>
    <x v="1"/>
    <x v="0"/>
    <n v="4"/>
    <n v="5"/>
  </r>
  <r>
    <x v="279"/>
    <s v="TNCUST0128"/>
    <x v="93"/>
    <s v="Chennai"/>
    <x v="14"/>
    <s v="Female"/>
    <n v="41"/>
    <s v="26-35"/>
    <x v="1"/>
    <x v="20"/>
    <n v="4"/>
    <n v="4893"/>
    <n v="10"/>
    <n v="0.1"/>
    <n v="1957.2"/>
    <n v="17614.8"/>
    <n v="140"/>
    <n v="17754.8"/>
    <x v="5"/>
    <x v="0"/>
    <x v="0"/>
    <n v="3"/>
    <n v="3.5"/>
  </r>
  <r>
    <x v="280"/>
    <s v="TNCUST0111"/>
    <x v="147"/>
    <s v="Nagercoil"/>
    <x v="13"/>
    <s v="Female"/>
    <n v="33"/>
    <s v="26-35"/>
    <x v="5"/>
    <x v="26"/>
    <n v="4"/>
    <n v="3247"/>
    <n v="25"/>
    <n v="0.25"/>
    <n v="3247"/>
    <n v="9741"/>
    <n v="45"/>
    <n v="9786"/>
    <x v="2"/>
    <x v="0"/>
    <x v="0"/>
    <n v="7"/>
    <n v="4.5"/>
  </r>
  <r>
    <x v="281"/>
    <s v="TNCUST0013"/>
    <x v="182"/>
    <s v="Madurai"/>
    <x v="3"/>
    <s v="Female"/>
    <n v="54"/>
    <s v="18-25"/>
    <x v="2"/>
    <x v="2"/>
    <n v="2"/>
    <n v="2197"/>
    <n v="10"/>
    <n v="0.1"/>
    <n v="439.4"/>
    <n v="3954.6"/>
    <n v="96"/>
    <n v="4050.6"/>
    <x v="4"/>
    <x v="1"/>
    <x v="2"/>
    <m/>
    <m/>
  </r>
  <r>
    <x v="282"/>
    <s v="TNCUST0032"/>
    <x v="194"/>
    <s v="Chennai"/>
    <x v="14"/>
    <s v="Female"/>
    <n v="19"/>
    <s v="56+"/>
    <x v="4"/>
    <x v="12"/>
    <n v="4"/>
    <n v="4085"/>
    <n v="20"/>
    <n v="0.2"/>
    <n v="3268"/>
    <n v="13072"/>
    <n v="227"/>
    <n v="13299"/>
    <x v="2"/>
    <x v="0"/>
    <x v="0"/>
    <n v="3"/>
    <n v="4"/>
  </r>
  <r>
    <x v="283"/>
    <s v="TNCUST0162"/>
    <x v="6"/>
    <s v="Thanjavur"/>
    <x v="4"/>
    <s v="Male"/>
    <n v="36"/>
    <s v="26-35"/>
    <x v="1"/>
    <x v="1"/>
    <n v="2"/>
    <n v="6746"/>
    <n v="25"/>
    <n v="0.25"/>
    <n v="3373"/>
    <n v="10119"/>
    <n v="40"/>
    <n v="10159"/>
    <x v="4"/>
    <x v="2"/>
    <x v="0"/>
    <n v="5"/>
    <n v="4"/>
  </r>
  <r>
    <x v="284"/>
    <s v="TNCUST0102"/>
    <x v="132"/>
    <s v="Erode"/>
    <x v="8"/>
    <s v="Female"/>
    <n v="56"/>
    <s v="46-55"/>
    <x v="1"/>
    <x v="1"/>
    <n v="5"/>
    <n v="2269"/>
    <n v="10"/>
    <n v="0.1"/>
    <n v="1134.5"/>
    <n v="10210.5"/>
    <n v="94"/>
    <n v="10304.5"/>
    <x v="1"/>
    <x v="0"/>
    <x v="0"/>
    <n v="3"/>
    <n v="5"/>
  </r>
  <r>
    <x v="285"/>
    <s v="TNCUST0043"/>
    <x v="171"/>
    <s v="Thanjavur"/>
    <x v="4"/>
    <s v="Female"/>
    <n v="23"/>
    <s v="18-25"/>
    <x v="3"/>
    <x v="6"/>
    <n v="4"/>
    <n v="3130"/>
    <n v="25"/>
    <n v="0.25"/>
    <n v="3130"/>
    <n v="9390"/>
    <n v="210"/>
    <n v="9600"/>
    <x v="0"/>
    <x v="1"/>
    <x v="0"/>
    <n v="6"/>
    <n v="3.5"/>
  </r>
  <r>
    <x v="286"/>
    <s v="TNCUST0189"/>
    <x v="195"/>
    <s v="Karur"/>
    <x v="10"/>
    <s v="Female"/>
    <n v="32"/>
    <s v="46-55"/>
    <x v="2"/>
    <x v="9"/>
    <n v="1"/>
    <n v="420"/>
    <n v="20"/>
    <n v="0.2"/>
    <n v="84"/>
    <n v="336"/>
    <n v="187"/>
    <n v="523"/>
    <x v="4"/>
    <x v="1"/>
    <x v="0"/>
    <n v="3"/>
    <n v="3.5"/>
  </r>
  <r>
    <x v="287"/>
    <s v="TNCUST0035"/>
    <x v="17"/>
    <s v="Madurai"/>
    <x v="3"/>
    <s v="Other"/>
    <n v="46"/>
    <s v="56+"/>
    <x v="3"/>
    <x v="4"/>
    <n v="1"/>
    <n v="3689"/>
    <n v="15"/>
    <n v="0.15"/>
    <n v="553.35"/>
    <n v="3135.65"/>
    <n v="158"/>
    <n v="3293.65"/>
    <x v="2"/>
    <x v="0"/>
    <x v="3"/>
    <m/>
    <m/>
  </r>
  <r>
    <x v="288"/>
    <s v="TNCUST0106"/>
    <x v="196"/>
    <s v="Thanjavur"/>
    <x v="4"/>
    <s v="Female"/>
    <n v="37"/>
    <s v="26-35"/>
    <x v="2"/>
    <x v="9"/>
    <n v="4"/>
    <n v="1348"/>
    <n v="15"/>
    <n v="0.15"/>
    <n v="808.8"/>
    <n v="4583.2"/>
    <n v="226"/>
    <n v="4809.2"/>
    <x v="1"/>
    <x v="1"/>
    <x v="0"/>
    <n v="4"/>
    <n v="4"/>
  </r>
  <r>
    <x v="289"/>
    <s v="TNCUST0205"/>
    <x v="101"/>
    <s v="Chennai"/>
    <x v="14"/>
    <s v="Female"/>
    <n v="45"/>
    <s v="56+"/>
    <x v="3"/>
    <x v="4"/>
    <n v="3"/>
    <n v="2967"/>
    <n v="15"/>
    <n v="0.15"/>
    <n v="1335.15"/>
    <n v="7565.85"/>
    <n v="142"/>
    <n v="7707.85"/>
    <x v="2"/>
    <x v="1"/>
    <x v="3"/>
    <m/>
    <m/>
  </r>
  <r>
    <x v="290"/>
    <s v="TNCUST0021"/>
    <x v="49"/>
    <s v="Thoothukudi"/>
    <x v="12"/>
    <s v="Female"/>
    <n v="34"/>
    <s v="26-35"/>
    <x v="5"/>
    <x v="27"/>
    <n v="4"/>
    <n v="6767"/>
    <n v="25"/>
    <n v="0.25"/>
    <n v="6767"/>
    <n v="20301"/>
    <n v="232"/>
    <n v="20533"/>
    <x v="3"/>
    <x v="0"/>
    <x v="1"/>
    <n v="2"/>
    <m/>
  </r>
  <r>
    <x v="291"/>
    <s v="TNCUST0070"/>
    <x v="174"/>
    <s v="Nagercoil"/>
    <x v="13"/>
    <s v="Other"/>
    <n v="57"/>
    <s v="56+"/>
    <x v="1"/>
    <x v="19"/>
    <n v="3"/>
    <n v="960"/>
    <n v="5"/>
    <n v="0.05"/>
    <n v="144"/>
    <n v="2736"/>
    <n v="48"/>
    <n v="2784"/>
    <x v="5"/>
    <x v="1"/>
    <x v="0"/>
    <n v="4"/>
    <n v="4"/>
  </r>
  <r>
    <x v="292"/>
    <s v="TNCUST0039"/>
    <x v="197"/>
    <s v="Tirunelveli"/>
    <x v="6"/>
    <s v="Male"/>
    <n v="23"/>
    <s v="46-55"/>
    <x v="0"/>
    <x v="3"/>
    <n v="1"/>
    <n v="70919"/>
    <n v="5"/>
    <n v="0.05"/>
    <n v="3545.95"/>
    <n v="67373.05"/>
    <n v="206"/>
    <n v="67579.05"/>
    <x v="2"/>
    <x v="2"/>
    <x v="1"/>
    <n v="2"/>
    <m/>
  </r>
  <r>
    <x v="293"/>
    <s v="TNCUST0047"/>
    <x v="127"/>
    <s v="Erode"/>
    <x v="8"/>
    <s v="Male"/>
    <n v="52"/>
    <s v="36-45"/>
    <x v="5"/>
    <x v="21"/>
    <n v="3"/>
    <n v="5710"/>
    <n v="5"/>
    <n v="0.05"/>
    <n v="856.5"/>
    <n v="16273.5"/>
    <n v="218"/>
    <n v="16491.5"/>
    <x v="5"/>
    <x v="1"/>
    <x v="0"/>
    <n v="1"/>
    <n v="4"/>
  </r>
  <r>
    <x v="294"/>
    <s v="TNCUST0041"/>
    <x v="160"/>
    <s v="Coimbatore"/>
    <x v="2"/>
    <s v="Other"/>
    <n v="37"/>
    <s v="18-25"/>
    <x v="1"/>
    <x v="20"/>
    <n v="4"/>
    <n v="6423"/>
    <n v="0"/>
    <n v="0"/>
    <n v="0"/>
    <n v="25692"/>
    <n v="73"/>
    <n v="25765"/>
    <x v="4"/>
    <x v="0"/>
    <x v="0"/>
    <n v="4"/>
    <n v="4"/>
  </r>
  <r>
    <x v="295"/>
    <s v="TNCUST0004"/>
    <x v="198"/>
    <s v="Thoothukudi"/>
    <x v="12"/>
    <s v="Male"/>
    <n v="38"/>
    <s v="36-45"/>
    <x v="0"/>
    <x v="25"/>
    <n v="4"/>
    <n v="39966"/>
    <n v="5"/>
    <n v="0.05"/>
    <n v="7993.2"/>
    <n v="151870.79999999999"/>
    <n v="80"/>
    <n v="151950.79999999999"/>
    <x v="3"/>
    <x v="1"/>
    <x v="3"/>
    <m/>
    <m/>
  </r>
  <r>
    <x v="296"/>
    <s v="TNCUST0016"/>
    <x v="144"/>
    <s v="Erode"/>
    <x v="8"/>
    <s v="Male"/>
    <n v="39"/>
    <s v="36-45"/>
    <x v="4"/>
    <x v="17"/>
    <n v="1"/>
    <n v="5284"/>
    <n v="5"/>
    <n v="0.05"/>
    <n v="264.2"/>
    <n v="5019.8"/>
    <n v="43"/>
    <n v="5062.8"/>
    <x v="4"/>
    <x v="1"/>
    <x v="0"/>
    <n v="5"/>
    <n v="5"/>
  </r>
  <r>
    <x v="297"/>
    <s v="TNCUST0092"/>
    <x v="20"/>
    <s v="Hosur"/>
    <x v="9"/>
    <s v="Other"/>
    <n v="42"/>
    <s v="26-35"/>
    <x v="3"/>
    <x v="13"/>
    <n v="2"/>
    <n v="3379"/>
    <n v="10"/>
    <n v="0.1"/>
    <n v="675.8"/>
    <n v="6082.2"/>
    <n v="132"/>
    <n v="6214.2"/>
    <x v="1"/>
    <x v="1"/>
    <x v="2"/>
    <m/>
    <m/>
  </r>
  <r>
    <x v="298"/>
    <s v="TNCUST0042"/>
    <x v="30"/>
    <s v="Vellore"/>
    <x v="5"/>
    <s v="Male"/>
    <n v="56"/>
    <s v="56+"/>
    <x v="1"/>
    <x v="11"/>
    <n v="5"/>
    <n v="1928"/>
    <n v="20"/>
    <n v="0.2"/>
    <n v="1928"/>
    <n v="7712"/>
    <n v="207"/>
    <n v="7919"/>
    <x v="2"/>
    <x v="2"/>
    <x v="0"/>
    <n v="3"/>
    <n v="4.5"/>
  </r>
  <r>
    <x v="299"/>
    <s v="TNCUST0017"/>
    <x v="199"/>
    <s v="Salem"/>
    <x v="11"/>
    <s v="Other"/>
    <n v="38"/>
    <s v="56+"/>
    <x v="5"/>
    <x v="16"/>
    <n v="3"/>
    <n v="8589"/>
    <n v="0"/>
    <n v="0"/>
    <n v="0"/>
    <n v="25767"/>
    <n v="113"/>
    <n v="25880"/>
    <x v="5"/>
    <x v="1"/>
    <x v="0"/>
    <n v="2"/>
    <n v="5"/>
  </r>
  <r>
    <x v="300"/>
    <s v="TNCUST0046"/>
    <x v="55"/>
    <s v="Thoothukudi"/>
    <x v="12"/>
    <s v="Male"/>
    <n v="20"/>
    <s v="26-35"/>
    <x v="1"/>
    <x v="11"/>
    <n v="5"/>
    <n v="5650"/>
    <n v="10"/>
    <n v="0.1"/>
    <n v="2825"/>
    <n v="25425"/>
    <n v="153"/>
    <n v="25578"/>
    <x v="0"/>
    <x v="2"/>
    <x v="0"/>
    <n v="1"/>
    <n v="3.5"/>
  </r>
  <r>
    <x v="301"/>
    <s v="TNCUST0239"/>
    <x v="175"/>
    <s v="Tiruchirappalli"/>
    <x v="1"/>
    <s v="Male"/>
    <n v="22"/>
    <s v="46-55"/>
    <x v="0"/>
    <x v="0"/>
    <n v="5"/>
    <n v="51734"/>
    <n v="20"/>
    <n v="0.2"/>
    <n v="51734"/>
    <n v="206936"/>
    <n v="113"/>
    <n v="207049"/>
    <x v="0"/>
    <x v="2"/>
    <x v="0"/>
    <n v="5"/>
    <n v="3"/>
  </r>
  <r>
    <x v="302"/>
    <s v="TNCUST0242"/>
    <x v="200"/>
    <s v="Nagercoil"/>
    <x v="13"/>
    <s v="Male"/>
    <n v="37"/>
    <s v="56+"/>
    <x v="1"/>
    <x v="24"/>
    <n v="3"/>
    <n v="5453"/>
    <n v="10"/>
    <n v="0.1"/>
    <n v="1635.9"/>
    <n v="14723.1"/>
    <n v="207"/>
    <n v="14930.1"/>
    <x v="0"/>
    <x v="1"/>
    <x v="0"/>
    <n v="7"/>
    <n v="3"/>
  </r>
  <r>
    <x v="303"/>
    <s v="TNCUST0148"/>
    <x v="201"/>
    <s v="Hosur"/>
    <x v="9"/>
    <s v="Female"/>
    <n v="24"/>
    <s v="46-55"/>
    <x v="4"/>
    <x v="29"/>
    <n v="4"/>
    <n v="1982"/>
    <n v="5"/>
    <n v="0.05"/>
    <n v="396.4"/>
    <n v="7531.6"/>
    <n v="162"/>
    <n v="7693.6"/>
    <x v="4"/>
    <x v="0"/>
    <x v="0"/>
    <n v="6"/>
    <n v="5"/>
  </r>
  <r>
    <x v="304"/>
    <s v="TNCUST0084"/>
    <x v="29"/>
    <s v="Erode"/>
    <x v="8"/>
    <s v="Female"/>
    <n v="53"/>
    <s v="46-55"/>
    <x v="0"/>
    <x v="3"/>
    <n v="2"/>
    <n v="72885"/>
    <n v="20"/>
    <n v="0.2"/>
    <n v="29154"/>
    <n v="116616"/>
    <n v="133"/>
    <n v="116749"/>
    <x v="4"/>
    <x v="2"/>
    <x v="3"/>
    <m/>
    <m/>
  </r>
  <r>
    <x v="305"/>
    <s v="TNCUST0246"/>
    <x v="115"/>
    <s v="Kanchipuram"/>
    <x v="7"/>
    <s v="Female"/>
    <n v="46"/>
    <s v="18-25"/>
    <x v="1"/>
    <x v="19"/>
    <n v="5"/>
    <n v="6672"/>
    <n v="20"/>
    <n v="0.2"/>
    <n v="6672"/>
    <n v="26688"/>
    <n v="85"/>
    <n v="26773"/>
    <x v="4"/>
    <x v="1"/>
    <x v="4"/>
    <m/>
    <m/>
  </r>
  <r>
    <x v="306"/>
    <s v="TNCUST0131"/>
    <x v="166"/>
    <s v="Salem"/>
    <x v="11"/>
    <s v="Other"/>
    <n v="35"/>
    <s v="56+"/>
    <x v="3"/>
    <x v="13"/>
    <n v="5"/>
    <n v="1058"/>
    <n v="10"/>
    <n v="0.1"/>
    <n v="529"/>
    <n v="4761"/>
    <n v="230"/>
    <n v="4991"/>
    <x v="3"/>
    <x v="1"/>
    <x v="0"/>
    <n v="7"/>
    <n v="4.5"/>
  </r>
  <r>
    <x v="307"/>
    <s v="TNCUST0146"/>
    <x v="101"/>
    <s v="Coimbatore"/>
    <x v="2"/>
    <s v="Male"/>
    <n v="54"/>
    <s v="18-25"/>
    <x v="0"/>
    <x v="28"/>
    <n v="3"/>
    <n v="21261"/>
    <n v="5"/>
    <n v="0.05"/>
    <n v="3189.15"/>
    <n v="60593.85"/>
    <n v="227"/>
    <n v="60820.85"/>
    <x v="4"/>
    <x v="2"/>
    <x v="0"/>
    <n v="1"/>
    <n v="4"/>
  </r>
  <r>
    <x v="308"/>
    <s v="TNCUST0226"/>
    <x v="4"/>
    <s v="Nagercoil"/>
    <x v="13"/>
    <s v="Female"/>
    <n v="39"/>
    <s v="46-55"/>
    <x v="2"/>
    <x v="22"/>
    <n v="4"/>
    <n v="233"/>
    <n v="20"/>
    <n v="0.2"/>
    <n v="186.4"/>
    <n v="745.6"/>
    <n v="219"/>
    <n v="964.6"/>
    <x v="0"/>
    <x v="1"/>
    <x v="0"/>
    <n v="7"/>
    <n v="4"/>
  </r>
  <r>
    <x v="309"/>
    <s v="TNCUST0013"/>
    <x v="118"/>
    <s v="Hosur"/>
    <x v="9"/>
    <s v="Other"/>
    <n v="32"/>
    <s v="46-55"/>
    <x v="1"/>
    <x v="1"/>
    <n v="1"/>
    <n v="3015"/>
    <n v="20"/>
    <n v="0.2"/>
    <n v="603"/>
    <n v="2412"/>
    <n v="103"/>
    <n v="2515"/>
    <x v="5"/>
    <x v="0"/>
    <x v="0"/>
    <n v="6"/>
    <n v="3.5"/>
  </r>
  <r>
    <x v="310"/>
    <s v="TNCUST0022"/>
    <x v="202"/>
    <s v="Thanjavur"/>
    <x v="4"/>
    <s v="Female"/>
    <n v="43"/>
    <s v="56+"/>
    <x v="3"/>
    <x v="13"/>
    <n v="2"/>
    <n v="691"/>
    <n v="0"/>
    <n v="0"/>
    <n v="0"/>
    <n v="1382"/>
    <n v="210"/>
    <n v="1592"/>
    <x v="5"/>
    <x v="0"/>
    <x v="0"/>
    <n v="5"/>
    <n v="4"/>
  </r>
  <r>
    <x v="311"/>
    <s v="TNCUST0069"/>
    <x v="27"/>
    <s v="Madurai"/>
    <x v="3"/>
    <s v="Female"/>
    <n v="22"/>
    <s v="36-45"/>
    <x v="4"/>
    <x v="23"/>
    <n v="5"/>
    <n v="4396"/>
    <n v="20"/>
    <n v="0.2"/>
    <n v="4396"/>
    <n v="17584"/>
    <n v="154"/>
    <n v="17738"/>
    <x v="4"/>
    <x v="0"/>
    <x v="3"/>
    <m/>
    <m/>
  </r>
  <r>
    <x v="312"/>
    <s v="TNCUST0160"/>
    <x v="24"/>
    <s v="Coimbatore"/>
    <x v="2"/>
    <s v="Male"/>
    <n v="57"/>
    <s v="46-55"/>
    <x v="0"/>
    <x v="28"/>
    <n v="4"/>
    <n v="48676"/>
    <n v="25"/>
    <n v="0.25"/>
    <n v="48676"/>
    <n v="146028"/>
    <n v="98"/>
    <n v="146126"/>
    <x v="0"/>
    <x v="1"/>
    <x v="0"/>
    <n v="3"/>
    <n v="4"/>
  </r>
  <r>
    <x v="313"/>
    <s v="TNCUST0178"/>
    <x v="43"/>
    <s v="Tiruchirappalli"/>
    <x v="1"/>
    <s v="Male"/>
    <n v="39"/>
    <s v="36-45"/>
    <x v="1"/>
    <x v="19"/>
    <n v="2"/>
    <n v="7991"/>
    <n v="5"/>
    <n v="0.05"/>
    <n v="799.1"/>
    <n v="15182.9"/>
    <n v="229"/>
    <n v="15411.9"/>
    <x v="5"/>
    <x v="2"/>
    <x v="4"/>
    <m/>
    <m/>
  </r>
  <r>
    <x v="314"/>
    <s v="TNCUST0097"/>
    <x v="203"/>
    <s v="Chennai"/>
    <x v="14"/>
    <s v="Other"/>
    <n v="60"/>
    <s v="56+"/>
    <x v="5"/>
    <x v="27"/>
    <n v="5"/>
    <n v="9252"/>
    <n v="20"/>
    <n v="0.2"/>
    <n v="9252"/>
    <n v="37008"/>
    <n v="206"/>
    <n v="37214"/>
    <x v="0"/>
    <x v="2"/>
    <x v="0"/>
    <n v="6"/>
    <n v="3"/>
  </r>
  <r>
    <x v="315"/>
    <s v="TNCUST0075"/>
    <x v="55"/>
    <s v="Madurai"/>
    <x v="3"/>
    <s v="Other"/>
    <n v="24"/>
    <s v="46-55"/>
    <x v="0"/>
    <x v="25"/>
    <n v="2"/>
    <n v="36357"/>
    <n v="25"/>
    <n v="0.25"/>
    <n v="18178.5"/>
    <n v="54535.5"/>
    <n v="238"/>
    <n v="54773.5"/>
    <x v="2"/>
    <x v="2"/>
    <x v="0"/>
    <n v="3"/>
    <n v="3"/>
  </r>
  <r>
    <x v="316"/>
    <s v="TNCUST0064"/>
    <x v="204"/>
    <s v="Thoothukudi"/>
    <x v="12"/>
    <s v="Other"/>
    <n v="20"/>
    <s v="36-45"/>
    <x v="1"/>
    <x v="24"/>
    <n v="3"/>
    <n v="2029"/>
    <n v="20"/>
    <n v="0.2"/>
    <n v="1217.4000000000001"/>
    <n v="4869.6000000000004"/>
    <n v="163"/>
    <n v="5032.6000000000004"/>
    <x v="1"/>
    <x v="2"/>
    <x v="3"/>
    <m/>
    <m/>
  </r>
  <r>
    <x v="317"/>
    <s v="TNCUST0242"/>
    <x v="194"/>
    <s v="Erode"/>
    <x v="8"/>
    <s v="Other"/>
    <n v="19"/>
    <s v="36-45"/>
    <x v="1"/>
    <x v="20"/>
    <n v="1"/>
    <n v="4506"/>
    <n v="10"/>
    <n v="0.1"/>
    <n v="450.6"/>
    <n v="4055.4"/>
    <n v="180"/>
    <n v="4235.3999999999996"/>
    <x v="2"/>
    <x v="1"/>
    <x v="2"/>
    <m/>
    <m/>
  </r>
  <r>
    <x v="318"/>
    <s v="TNCUST0034"/>
    <x v="79"/>
    <s v="Tirunelveli"/>
    <x v="6"/>
    <s v="Male"/>
    <n v="46"/>
    <s v="26-35"/>
    <x v="2"/>
    <x v="22"/>
    <n v="1"/>
    <n v="1789"/>
    <n v="5"/>
    <n v="0.05"/>
    <n v="89.45"/>
    <n v="1699.55"/>
    <n v="99"/>
    <n v="1798.55"/>
    <x v="3"/>
    <x v="0"/>
    <x v="0"/>
    <n v="3"/>
    <n v="4.5"/>
  </r>
  <r>
    <x v="319"/>
    <s v="TNCUST0082"/>
    <x v="205"/>
    <s v="Dindigul"/>
    <x v="0"/>
    <s v="Male"/>
    <n v="25"/>
    <s v="18-25"/>
    <x v="4"/>
    <x v="7"/>
    <n v="3"/>
    <n v="1507"/>
    <n v="5"/>
    <n v="0.05"/>
    <n v="226.05"/>
    <n v="4294.95"/>
    <n v="162"/>
    <n v="4456.95"/>
    <x v="1"/>
    <x v="2"/>
    <x v="0"/>
    <n v="6"/>
    <n v="3.5"/>
  </r>
  <r>
    <x v="320"/>
    <s v="TNCUST0060"/>
    <x v="206"/>
    <s v="Erode"/>
    <x v="8"/>
    <s v="Male"/>
    <n v="32"/>
    <s v="18-25"/>
    <x v="5"/>
    <x v="21"/>
    <n v="3"/>
    <n v="2049"/>
    <n v="20"/>
    <n v="0.2"/>
    <n v="1229.4000000000001"/>
    <n v="4917.6000000000004"/>
    <n v="175"/>
    <n v="5092.6000000000004"/>
    <x v="1"/>
    <x v="1"/>
    <x v="0"/>
    <n v="5"/>
    <n v="4.5"/>
  </r>
  <r>
    <x v="321"/>
    <s v="TNCUST0196"/>
    <x v="20"/>
    <s v="Hosur"/>
    <x v="9"/>
    <s v="Male"/>
    <n v="20"/>
    <s v="36-45"/>
    <x v="2"/>
    <x v="22"/>
    <n v="5"/>
    <n v="833"/>
    <n v="15"/>
    <n v="0.15"/>
    <n v="624.75"/>
    <n v="3540.25"/>
    <n v="61"/>
    <n v="3601.25"/>
    <x v="5"/>
    <x v="1"/>
    <x v="0"/>
    <n v="2"/>
    <n v="4"/>
  </r>
  <r>
    <x v="322"/>
    <s v="TNCUST0156"/>
    <x v="207"/>
    <s v="Hosur"/>
    <x v="9"/>
    <s v="Other"/>
    <n v="20"/>
    <s v="46-55"/>
    <x v="1"/>
    <x v="20"/>
    <n v="2"/>
    <n v="3061"/>
    <n v="15"/>
    <n v="0.15"/>
    <n v="918.3"/>
    <n v="5203.7"/>
    <n v="129"/>
    <n v="5332.7"/>
    <x v="4"/>
    <x v="2"/>
    <x v="4"/>
    <m/>
    <m/>
  </r>
  <r>
    <x v="323"/>
    <s v="TNCUST0102"/>
    <x v="208"/>
    <s v="Erode"/>
    <x v="8"/>
    <s v="Other"/>
    <n v="52"/>
    <s v="18-25"/>
    <x v="3"/>
    <x v="15"/>
    <n v="5"/>
    <n v="597"/>
    <n v="15"/>
    <n v="0.15"/>
    <n v="447.75"/>
    <n v="2537.25"/>
    <n v="30"/>
    <n v="2567.25"/>
    <x v="3"/>
    <x v="2"/>
    <x v="2"/>
    <m/>
    <m/>
  </r>
  <r>
    <x v="324"/>
    <s v="TNCUST0133"/>
    <x v="209"/>
    <s v="Thoothukudi"/>
    <x v="12"/>
    <s v="Male"/>
    <n v="21"/>
    <s v="46-55"/>
    <x v="1"/>
    <x v="24"/>
    <n v="2"/>
    <n v="7179"/>
    <n v="10"/>
    <n v="0.1"/>
    <n v="1435.8"/>
    <n v="12922.2"/>
    <n v="128"/>
    <n v="13050.2"/>
    <x v="4"/>
    <x v="2"/>
    <x v="0"/>
    <n v="5"/>
    <n v="5"/>
  </r>
  <r>
    <x v="325"/>
    <s v="TNCUST0024"/>
    <x v="210"/>
    <s v="Coimbatore"/>
    <x v="2"/>
    <s v="Female"/>
    <n v="30"/>
    <s v="36-45"/>
    <x v="1"/>
    <x v="1"/>
    <n v="1"/>
    <n v="3787"/>
    <n v="10"/>
    <n v="0.1"/>
    <n v="378.7"/>
    <n v="3408.3"/>
    <n v="65"/>
    <n v="3473.3"/>
    <x v="4"/>
    <x v="0"/>
    <x v="0"/>
    <n v="5"/>
    <n v="4"/>
  </r>
  <r>
    <x v="326"/>
    <s v="TNCUST0141"/>
    <x v="138"/>
    <s v="Karur"/>
    <x v="10"/>
    <s v="Female"/>
    <n v="28"/>
    <s v="18-25"/>
    <x v="1"/>
    <x v="20"/>
    <n v="1"/>
    <n v="4691"/>
    <n v="25"/>
    <n v="0.25"/>
    <n v="1172.75"/>
    <n v="3518.25"/>
    <n v="222"/>
    <n v="3740.25"/>
    <x v="2"/>
    <x v="2"/>
    <x v="0"/>
    <n v="5"/>
    <n v="4"/>
  </r>
  <r>
    <x v="327"/>
    <s v="TNCUST0031"/>
    <x v="43"/>
    <s v="Thanjavur"/>
    <x v="4"/>
    <s v="Male"/>
    <n v="29"/>
    <s v="26-35"/>
    <x v="1"/>
    <x v="20"/>
    <n v="2"/>
    <n v="2935"/>
    <n v="25"/>
    <n v="0.25"/>
    <n v="1467.5"/>
    <n v="4402.5"/>
    <n v="134"/>
    <n v="4536.5"/>
    <x v="0"/>
    <x v="0"/>
    <x v="2"/>
    <m/>
    <m/>
  </r>
  <r>
    <x v="328"/>
    <s v="TNCUST0114"/>
    <x v="55"/>
    <s v="Nagercoil"/>
    <x v="13"/>
    <s v="Male"/>
    <n v="47"/>
    <s v="56+"/>
    <x v="5"/>
    <x v="10"/>
    <n v="4"/>
    <n v="9204"/>
    <n v="15"/>
    <n v="0.15"/>
    <n v="5522.4"/>
    <n v="31293.599999999999"/>
    <n v="170"/>
    <n v="31463.599999999999"/>
    <x v="3"/>
    <x v="1"/>
    <x v="0"/>
    <n v="4"/>
    <n v="4"/>
  </r>
  <r>
    <x v="329"/>
    <s v="TNCUST0077"/>
    <x v="0"/>
    <s v="Tiruchirappalli"/>
    <x v="1"/>
    <s v="Female"/>
    <n v="54"/>
    <s v="18-25"/>
    <x v="3"/>
    <x v="5"/>
    <n v="5"/>
    <n v="757"/>
    <n v="25"/>
    <n v="0.25"/>
    <n v="946.25"/>
    <n v="2838.75"/>
    <n v="57"/>
    <n v="2895.75"/>
    <x v="0"/>
    <x v="1"/>
    <x v="0"/>
    <n v="6"/>
    <n v="4.5"/>
  </r>
  <r>
    <x v="330"/>
    <s v="TNCUST0195"/>
    <x v="140"/>
    <s v="Erode"/>
    <x v="8"/>
    <s v="Female"/>
    <n v="22"/>
    <s v="56+"/>
    <x v="4"/>
    <x v="7"/>
    <n v="3"/>
    <n v="1853"/>
    <n v="0"/>
    <n v="0"/>
    <n v="0"/>
    <n v="5559"/>
    <n v="102"/>
    <n v="5661"/>
    <x v="0"/>
    <x v="2"/>
    <x v="2"/>
    <m/>
    <m/>
  </r>
  <r>
    <x v="331"/>
    <s v="TNCUST0023"/>
    <x v="211"/>
    <s v="Vellore"/>
    <x v="5"/>
    <s v="Female"/>
    <n v="58"/>
    <s v="56+"/>
    <x v="4"/>
    <x v="17"/>
    <n v="3"/>
    <n v="4717"/>
    <n v="5"/>
    <n v="0.05"/>
    <n v="707.55"/>
    <n v="13443.45"/>
    <n v="47"/>
    <n v="13490.45"/>
    <x v="4"/>
    <x v="2"/>
    <x v="0"/>
    <n v="6"/>
    <n v="4.5"/>
  </r>
  <r>
    <x v="332"/>
    <s v="TNCUST0060"/>
    <x v="212"/>
    <s v="Erode"/>
    <x v="8"/>
    <s v="Other"/>
    <n v="29"/>
    <s v="36-45"/>
    <x v="3"/>
    <x v="5"/>
    <n v="3"/>
    <n v="2666"/>
    <n v="15"/>
    <n v="0.15"/>
    <n v="1199.7"/>
    <n v="6798.3"/>
    <n v="181"/>
    <n v="6979.3"/>
    <x v="2"/>
    <x v="1"/>
    <x v="0"/>
    <n v="4"/>
    <n v="4.5"/>
  </r>
  <r>
    <x v="333"/>
    <s v="TNCUST0177"/>
    <x v="8"/>
    <s v="Coimbatore"/>
    <x v="2"/>
    <s v="Female"/>
    <n v="58"/>
    <s v="36-45"/>
    <x v="0"/>
    <x v="28"/>
    <n v="1"/>
    <n v="27975"/>
    <n v="10"/>
    <n v="0.1"/>
    <n v="2797.5"/>
    <n v="25177.5"/>
    <n v="183"/>
    <n v="25360.5"/>
    <x v="0"/>
    <x v="2"/>
    <x v="0"/>
    <n v="1"/>
    <n v="3.5"/>
  </r>
  <r>
    <x v="334"/>
    <s v="TNCUST0237"/>
    <x v="63"/>
    <s v="Salem"/>
    <x v="11"/>
    <s v="Other"/>
    <n v="39"/>
    <s v="46-55"/>
    <x v="3"/>
    <x v="15"/>
    <n v="3"/>
    <n v="1772"/>
    <n v="20"/>
    <n v="0.2"/>
    <n v="1063.2"/>
    <n v="4252.8"/>
    <n v="27"/>
    <n v="4279.8"/>
    <x v="5"/>
    <x v="1"/>
    <x v="0"/>
    <n v="2"/>
    <n v="4"/>
  </r>
  <r>
    <x v="335"/>
    <s v="TNCUST0186"/>
    <x v="213"/>
    <s v="Dindigul"/>
    <x v="0"/>
    <s v="Other"/>
    <n v="54"/>
    <s v="36-45"/>
    <x v="4"/>
    <x v="23"/>
    <n v="2"/>
    <n v="4798"/>
    <n v="15"/>
    <n v="0.15"/>
    <n v="1439.4"/>
    <n v="8156.6"/>
    <n v="34"/>
    <n v="8190.6"/>
    <x v="3"/>
    <x v="0"/>
    <x v="4"/>
    <m/>
    <m/>
  </r>
  <r>
    <x v="336"/>
    <s v="TNCUST0147"/>
    <x v="51"/>
    <s v="Chennai"/>
    <x v="14"/>
    <s v="Other"/>
    <n v="28"/>
    <s v="46-55"/>
    <x v="4"/>
    <x v="29"/>
    <n v="3"/>
    <n v="942"/>
    <n v="10"/>
    <n v="0.1"/>
    <n v="282.60000000000002"/>
    <n v="2543.4"/>
    <n v="180"/>
    <n v="2723.4"/>
    <x v="2"/>
    <x v="0"/>
    <x v="3"/>
    <m/>
    <m/>
  </r>
  <r>
    <x v="337"/>
    <s v="TNCUST0029"/>
    <x v="214"/>
    <s v="Coimbatore"/>
    <x v="2"/>
    <s v="Female"/>
    <n v="37"/>
    <s v="18-25"/>
    <x v="5"/>
    <x v="26"/>
    <n v="1"/>
    <n v="1722"/>
    <n v="10"/>
    <n v="0.1"/>
    <n v="172.2"/>
    <n v="1549.8"/>
    <n v="97"/>
    <n v="1646.8"/>
    <x v="2"/>
    <x v="1"/>
    <x v="0"/>
    <n v="5"/>
    <n v="3.5"/>
  </r>
  <r>
    <x v="338"/>
    <s v="TNCUST0211"/>
    <x v="215"/>
    <s v="Vellore"/>
    <x v="5"/>
    <s v="Other"/>
    <n v="24"/>
    <s v="26-35"/>
    <x v="3"/>
    <x v="13"/>
    <n v="4"/>
    <n v="3933"/>
    <n v="25"/>
    <n v="0.25"/>
    <n v="3933"/>
    <n v="11799"/>
    <n v="99"/>
    <n v="11898"/>
    <x v="2"/>
    <x v="0"/>
    <x v="4"/>
    <m/>
    <m/>
  </r>
  <r>
    <x v="339"/>
    <s v="TNCUST0134"/>
    <x v="30"/>
    <s v="Chennai"/>
    <x v="14"/>
    <s v="Other"/>
    <n v="24"/>
    <s v="36-45"/>
    <x v="2"/>
    <x v="18"/>
    <n v="5"/>
    <n v="260"/>
    <n v="20"/>
    <n v="0.2"/>
    <n v="260"/>
    <n v="1040"/>
    <n v="105"/>
    <n v="1145"/>
    <x v="0"/>
    <x v="0"/>
    <x v="4"/>
    <m/>
    <m/>
  </r>
  <r>
    <x v="340"/>
    <s v="TNCUST0030"/>
    <x v="81"/>
    <s v="Nagercoil"/>
    <x v="13"/>
    <s v="Male"/>
    <n v="35"/>
    <s v="56+"/>
    <x v="5"/>
    <x v="27"/>
    <n v="3"/>
    <n v="4995"/>
    <n v="15"/>
    <n v="0.15"/>
    <n v="2247.75"/>
    <n v="12737.25"/>
    <n v="89"/>
    <n v="12826.25"/>
    <x v="3"/>
    <x v="0"/>
    <x v="1"/>
    <n v="2"/>
    <m/>
  </r>
  <r>
    <x v="341"/>
    <s v="TNCUST0139"/>
    <x v="200"/>
    <s v="Coimbatore"/>
    <x v="2"/>
    <s v="Female"/>
    <n v="57"/>
    <s v="18-25"/>
    <x v="4"/>
    <x v="29"/>
    <n v="3"/>
    <n v="3009"/>
    <n v="10"/>
    <n v="0.1"/>
    <n v="902.7"/>
    <n v="8124.3"/>
    <n v="63"/>
    <n v="8187.3"/>
    <x v="2"/>
    <x v="1"/>
    <x v="0"/>
    <n v="3"/>
    <n v="4"/>
  </r>
  <r>
    <x v="342"/>
    <s v="TNCUST0092"/>
    <x v="216"/>
    <s v="Vellore"/>
    <x v="5"/>
    <s v="Female"/>
    <n v="46"/>
    <s v="36-45"/>
    <x v="1"/>
    <x v="24"/>
    <n v="1"/>
    <n v="1866"/>
    <n v="25"/>
    <n v="0.25"/>
    <n v="466.5"/>
    <n v="1399.5"/>
    <n v="171"/>
    <n v="1570.5"/>
    <x v="2"/>
    <x v="0"/>
    <x v="0"/>
    <n v="7"/>
    <n v="4.5"/>
  </r>
  <r>
    <x v="343"/>
    <s v="TNCUST0197"/>
    <x v="89"/>
    <s v="Nagercoil"/>
    <x v="13"/>
    <s v="Female"/>
    <n v="59"/>
    <s v="46-55"/>
    <x v="1"/>
    <x v="1"/>
    <n v="1"/>
    <n v="6972"/>
    <n v="25"/>
    <n v="0.25"/>
    <n v="1743"/>
    <n v="5229"/>
    <n v="136"/>
    <n v="5365"/>
    <x v="2"/>
    <x v="1"/>
    <x v="0"/>
    <n v="6"/>
    <n v="5"/>
  </r>
  <r>
    <x v="344"/>
    <s v="TNCUST0073"/>
    <x v="76"/>
    <s v="Madurai"/>
    <x v="3"/>
    <s v="Female"/>
    <n v="47"/>
    <s v="56+"/>
    <x v="3"/>
    <x v="5"/>
    <n v="3"/>
    <n v="2006"/>
    <n v="0"/>
    <n v="0"/>
    <n v="0"/>
    <n v="6018"/>
    <n v="48"/>
    <n v="6066"/>
    <x v="3"/>
    <x v="1"/>
    <x v="0"/>
    <n v="4"/>
    <n v="3.5"/>
  </r>
  <r>
    <x v="345"/>
    <s v="TNCUST0250"/>
    <x v="199"/>
    <s v="Thoothukudi"/>
    <x v="12"/>
    <s v="Female"/>
    <n v="53"/>
    <s v="46-55"/>
    <x v="0"/>
    <x v="28"/>
    <n v="1"/>
    <n v="43512"/>
    <n v="15"/>
    <n v="0.15"/>
    <n v="6526.8"/>
    <n v="36985.199999999997"/>
    <n v="81"/>
    <n v="37066.199999999997"/>
    <x v="0"/>
    <x v="2"/>
    <x v="0"/>
    <n v="2"/>
    <n v="3.5"/>
  </r>
  <r>
    <x v="346"/>
    <s v="TNCUST0030"/>
    <x v="204"/>
    <s v="Tiruchirappalli"/>
    <x v="1"/>
    <s v="Other"/>
    <n v="49"/>
    <s v="56+"/>
    <x v="1"/>
    <x v="1"/>
    <n v="4"/>
    <n v="2334"/>
    <n v="5"/>
    <n v="0.05"/>
    <n v="466.8"/>
    <n v="8869.2000000000007"/>
    <n v="39"/>
    <n v="8908.2000000000007"/>
    <x v="5"/>
    <x v="2"/>
    <x v="1"/>
    <n v="5"/>
    <m/>
  </r>
  <r>
    <x v="347"/>
    <s v="TNCUST0170"/>
    <x v="215"/>
    <s v="Thoothukudi"/>
    <x v="12"/>
    <s v="Male"/>
    <n v="59"/>
    <s v="18-25"/>
    <x v="0"/>
    <x v="28"/>
    <n v="2"/>
    <n v="41174"/>
    <n v="20"/>
    <n v="0.2"/>
    <n v="16469.599999999999"/>
    <n v="65878.399999999994"/>
    <n v="117"/>
    <n v="65995.399999999994"/>
    <x v="2"/>
    <x v="1"/>
    <x v="2"/>
    <m/>
    <m/>
  </r>
  <r>
    <x v="348"/>
    <s v="TNCUST0204"/>
    <x v="103"/>
    <s v="Karur"/>
    <x v="10"/>
    <s v="Other"/>
    <n v="37"/>
    <s v="36-45"/>
    <x v="3"/>
    <x v="13"/>
    <n v="2"/>
    <n v="1747"/>
    <n v="20"/>
    <n v="0.2"/>
    <n v="698.8"/>
    <n v="2795.2"/>
    <n v="72"/>
    <n v="2867.2"/>
    <x v="5"/>
    <x v="0"/>
    <x v="0"/>
    <n v="3"/>
    <n v="4.5"/>
  </r>
  <r>
    <x v="349"/>
    <s v="TNCUST0144"/>
    <x v="190"/>
    <s v="Karur"/>
    <x v="10"/>
    <s v="Female"/>
    <n v="18"/>
    <s v="18-25"/>
    <x v="5"/>
    <x v="10"/>
    <n v="5"/>
    <n v="8662"/>
    <n v="10"/>
    <n v="0.1"/>
    <n v="4331"/>
    <n v="38979"/>
    <n v="250"/>
    <n v="39229"/>
    <x v="1"/>
    <x v="1"/>
    <x v="0"/>
    <n v="1"/>
    <n v="5"/>
  </r>
  <r>
    <x v="350"/>
    <s v="TNCUST0099"/>
    <x v="217"/>
    <s v="Tiruchirappalli"/>
    <x v="1"/>
    <s v="Female"/>
    <n v="53"/>
    <s v="46-55"/>
    <x v="2"/>
    <x v="9"/>
    <n v="4"/>
    <n v="1642"/>
    <n v="5"/>
    <n v="0.05"/>
    <n v="328.4"/>
    <n v="6239.6"/>
    <n v="141"/>
    <n v="6380.6"/>
    <x v="2"/>
    <x v="2"/>
    <x v="1"/>
    <n v="2"/>
    <m/>
  </r>
  <r>
    <x v="351"/>
    <s v="TNCUST0207"/>
    <x v="218"/>
    <s v="Kanchipuram"/>
    <x v="7"/>
    <s v="Female"/>
    <n v="59"/>
    <s v="46-55"/>
    <x v="1"/>
    <x v="20"/>
    <n v="2"/>
    <n v="7649"/>
    <n v="15"/>
    <n v="0.15"/>
    <n v="2294.6999999999998"/>
    <n v="13003.3"/>
    <n v="54"/>
    <n v="13057.3"/>
    <x v="4"/>
    <x v="0"/>
    <x v="1"/>
    <n v="2"/>
    <m/>
  </r>
  <r>
    <x v="352"/>
    <s v="TNCUST0128"/>
    <x v="219"/>
    <s v="Karur"/>
    <x v="10"/>
    <s v="Other"/>
    <n v="18"/>
    <s v="26-35"/>
    <x v="2"/>
    <x v="9"/>
    <n v="2"/>
    <n v="2341"/>
    <n v="15"/>
    <n v="0.15"/>
    <n v="702.3"/>
    <n v="3979.7"/>
    <n v="67"/>
    <n v="4046.7"/>
    <x v="4"/>
    <x v="0"/>
    <x v="0"/>
    <n v="5"/>
    <n v="4.5"/>
  </r>
  <r>
    <x v="353"/>
    <s v="TNCUST0188"/>
    <x v="166"/>
    <s v="Salem"/>
    <x v="11"/>
    <s v="Other"/>
    <n v="27"/>
    <s v="36-45"/>
    <x v="2"/>
    <x v="9"/>
    <n v="5"/>
    <n v="2407"/>
    <n v="10"/>
    <n v="0.1"/>
    <n v="1203.5"/>
    <n v="10831.5"/>
    <n v="143"/>
    <n v="10974.5"/>
    <x v="5"/>
    <x v="0"/>
    <x v="0"/>
    <n v="1"/>
    <n v="5"/>
  </r>
  <r>
    <x v="354"/>
    <s v="TNCUST0117"/>
    <x v="51"/>
    <s v="Coimbatore"/>
    <x v="2"/>
    <s v="Other"/>
    <n v="18"/>
    <s v="46-55"/>
    <x v="3"/>
    <x v="15"/>
    <n v="1"/>
    <n v="3419"/>
    <n v="10"/>
    <n v="0.1"/>
    <n v="341.9"/>
    <n v="3077.1"/>
    <n v="107"/>
    <n v="3184.1"/>
    <x v="3"/>
    <x v="0"/>
    <x v="0"/>
    <n v="7"/>
    <n v="4"/>
  </r>
  <r>
    <x v="355"/>
    <s v="TNCUST0014"/>
    <x v="160"/>
    <s v="Tirunelveli"/>
    <x v="6"/>
    <s v="Other"/>
    <n v="28"/>
    <s v="36-45"/>
    <x v="2"/>
    <x v="14"/>
    <n v="3"/>
    <n v="1325"/>
    <n v="20"/>
    <n v="0.2"/>
    <n v="795"/>
    <n v="3180"/>
    <n v="181"/>
    <n v="3361"/>
    <x v="4"/>
    <x v="0"/>
    <x v="0"/>
    <n v="5"/>
    <n v="4.5"/>
  </r>
  <r>
    <x v="356"/>
    <s v="TNCUST0045"/>
    <x v="194"/>
    <s v="Chennai"/>
    <x v="14"/>
    <s v="Other"/>
    <n v="25"/>
    <s v="26-35"/>
    <x v="5"/>
    <x v="21"/>
    <n v="1"/>
    <n v="1559"/>
    <n v="20"/>
    <n v="0.2"/>
    <n v="311.8"/>
    <n v="1247.2"/>
    <n v="239"/>
    <n v="1486.2"/>
    <x v="4"/>
    <x v="2"/>
    <x v="0"/>
    <n v="1"/>
    <n v="4.5"/>
  </r>
  <r>
    <x v="357"/>
    <s v="TNCUST0198"/>
    <x v="67"/>
    <s v="Tirunelveli"/>
    <x v="6"/>
    <s v="Female"/>
    <n v="49"/>
    <s v="26-35"/>
    <x v="4"/>
    <x v="12"/>
    <n v="2"/>
    <n v="1881"/>
    <n v="5"/>
    <n v="0.05"/>
    <n v="188.1"/>
    <n v="3573.9"/>
    <n v="230"/>
    <n v="3803.9"/>
    <x v="4"/>
    <x v="2"/>
    <x v="0"/>
    <n v="7"/>
    <n v="4"/>
  </r>
  <r>
    <x v="358"/>
    <s v="TNCUST0098"/>
    <x v="128"/>
    <s v="Hosur"/>
    <x v="9"/>
    <s v="Other"/>
    <n v="52"/>
    <s v="46-55"/>
    <x v="1"/>
    <x v="20"/>
    <n v="2"/>
    <n v="1772"/>
    <n v="15"/>
    <n v="0.15"/>
    <n v="531.6"/>
    <n v="3012.4"/>
    <n v="97"/>
    <n v="3109.4"/>
    <x v="5"/>
    <x v="2"/>
    <x v="0"/>
    <n v="6"/>
    <n v="3.5"/>
  </r>
  <r>
    <x v="359"/>
    <s v="TNCUST0236"/>
    <x v="174"/>
    <s v="Madurai"/>
    <x v="3"/>
    <s v="Other"/>
    <n v="45"/>
    <s v="36-45"/>
    <x v="3"/>
    <x v="6"/>
    <n v="1"/>
    <n v="2321"/>
    <n v="0"/>
    <n v="0"/>
    <n v="0"/>
    <n v="2321"/>
    <n v="156"/>
    <n v="2477"/>
    <x v="1"/>
    <x v="2"/>
    <x v="0"/>
    <n v="3"/>
    <n v="4.5"/>
  </r>
  <r>
    <x v="360"/>
    <s v="TNCUST0173"/>
    <x v="220"/>
    <s v="Salem"/>
    <x v="11"/>
    <s v="Male"/>
    <n v="53"/>
    <s v="18-25"/>
    <x v="0"/>
    <x v="25"/>
    <n v="5"/>
    <n v="52069"/>
    <n v="20"/>
    <n v="0.2"/>
    <n v="52069"/>
    <n v="208276"/>
    <n v="196"/>
    <n v="208472"/>
    <x v="0"/>
    <x v="2"/>
    <x v="0"/>
    <n v="3"/>
    <n v="3"/>
  </r>
  <r>
    <x v="361"/>
    <s v="TNCUST0164"/>
    <x v="221"/>
    <s v="Coimbatore"/>
    <x v="2"/>
    <s v="Male"/>
    <n v="31"/>
    <s v="18-25"/>
    <x v="3"/>
    <x v="13"/>
    <n v="4"/>
    <n v="940"/>
    <n v="0"/>
    <n v="0"/>
    <n v="0"/>
    <n v="3760"/>
    <n v="34"/>
    <n v="3794"/>
    <x v="0"/>
    <x v="0"/>
    <x v="0"/>
    <n v="6"/>
    <n v="4.5"/>
  </r>
  <r>
    <x v="362"/>
    <s v="TNCUST0198"/>
    <x v="154"/>
    <s v="Madurai"/>
    <x v="3"/>
    <s v="Female"/>
    <n v="60"/>
    <s v="36-45"/>
    <x v="2"/>
    <x v="9"/>
    <n v="2"/>
    <n v="1286"/>
    <n v="0"/>
    <n v="0"/>
    <n v="0"/>
    <n v="2572"/>
    <n v="90"/>
    <n v="2662"/>
    <x v="2"/>
    <x v="1"/>
    <x v="1"/>
    <n v="6"/>
    <m/>
  </r>
  <r>
    <x v="363"/>
    <s v="TNCUST0126"/>
    <x v="53"/>
    <s v="Salem"/>
    <x v="11"/>
    <s v="Male"/>
    <n v="29"/>
    <s v="26-35"/>
    <x v="0"/>
    <x v="28"/>
    <n v="4"/>
    <n v="44401"/>
    <n v="0"/>
    <n v="0"/>
    <n v="0"/>
    <n v="177604"/>
    <n v="71"/>
    <n v="177675"/>
    <x v="3"/>
    <x v="2"/>
    <x v="0"/>
    <n v="4"/>
    <n v="5"/>
  </r>
  <r>
    <x v="364"/>
    <s v="TNCUST0164"/>
    <x v="222"/>
    <s v="Tiruchirappalli"/>
    <x v="1"/>
    <s v="Male"/>
    <n v="27"/>
    <s v="18-25"/>
    <x v="3"/>
    <x v="13"/>
    <n v="4"/>
    <n v="438"/>
    <n v="25"/>
    <n v="0.25"/>
    <n v="438"/>
    <n v="1314"/>
    <n v="134"/>
    <n v="1448"/>
    <x v="4"/>
    <x v="2"/>
    <x v="0"/>
    <n v="4"/>
    <n v="5"/>
  </r>
  <r>
    <x v="365"/>
    <s v="TNCUST0001"/>
    <x v="191"/>
    <s v="Salem"/>
    <x v="11"/>
    <s v="Female"/>
    <n v="32"/>
    <s v="46-55"/>
    <x v="4"/>
    <x v="12"/>
    <n v="4"/>
    <n v="4622"/>
    <n v="25"/>
    <n v="0.25"/>
    <n v="4622"/>
    <n v="13866"/>
    <n v="221"/>
    <n v="14087"/>
    <x v="0"/>
    <x v="0"/>
    <x v="2"/>
    <m/>
    <m/>
  </r>
  <r>
    <x v="366"/>
    <s v="TNCUST0142"/>
    <x v="178"/>
    <s v="Thoothukudi"/>
    <x v="12"/>
    <s v="Male"/>
    <n v="30"/>
    <s v="46-55"/>
    <x v="5"/>
    <x v="26"/>
    <n v="3"/>
    <n v="1785"/>
    <n v="10"/>
    <n v="0.1"/>
    <n v="535.5"/>
    <n v="4819.5"/>
    <n v="137"/>
    <n v="4956.5"/>
    <x v="4"/>
    <x v="1"/>
    <x v="0"/>
    <n v="6"/>
    <n v="3.5"/>
  </r>
  <r>
    <x v="367"/>
    <s v="TNCUST0017"/>
    <x v="223"/>
    <s v="Salem"/>
    <x v="11"/>
    <s v="Other"/>
    <n v="49"/>
    <s v="36-45"/>
    <x v="1"/>
    <x v="11"/>
    <n v="1"/>
    <n v="1952"/>
    <n v="5"/>
    <n v="0.05"/>
    <n v="97.6"/>
    <n v="1854.4"/>
    <n v="26"/>
    <n v="1880.4"/>
    <x v="5"/>
    <x v="0"/>
    <x v="0"/>
    <n v="2"/>
    <n v="4"/>
  </r>
  <r>
    <x v="368"/>
    <s v="TNCUST0039"/>
    <x v="224"/>
    <s v="Kanchipuram"/>
    <x v="7"/>
    <s v="Other"/>
    <n v="52"/>
    <s v="56+"/>
    <x v="2"/>
    <x v="2"/>
    <n v="1"/>
    <n v="255"/>
    <n v="5"/>
    <n v="0.05"/>
    <n v="12.75"/>
    <n v="242.25"/>
    <n v="190"/>
    <n v="432.25"/>
    <x v="2"/>
    <x v="1"/>
    <x v="2"/>
    <m/>
    <m/>
  </r>
  <r>
    <x v="369"/>
    <s v="TNCUST0157"/>
    <x v="202"/>
    <s v="Chennai"/>
    <x v="14"/>
    <s v="Male"/>
    <n v="24"/>
    <s v="56+"/>
    <x v="1"/>
    <x v="20"/>
    <n v="4"/>
    <n v="5714"/>
    <n v="5"/>
    <n v="0.05"/>
    <n v="1142.8"/>
    <n v="21713.200000000001"/>
    <n v="181"/>
    <n v="21894.2"/>
    <x v="0"/>
    <x v="1"/>
    <x v="0"/>
    <n v="3"/>
    <n v="4"/>
  </r>
  <r>
    <x v="370"/>
    <s v="TNCUST0140"/>
    <x v="225"/>
    <s v="Coimbatore"/>
    <x v="2"/>
    <s v="Male"/>
    <n v="54"/>
    <s v="36-45"/>
    <x v="2"/>
    <x v="9"/>
    <n v="5"/>
    <n v="1825"/>
    <n v="25"/>
    <n v="0.25"/>
    <n v="2281.25"/>
    <n v="6843.75"/>
    <n v="103"/>
    <n v="6946.75"/>
    <x v="2"/>
    <x v="1"/>
    <x v="1"/>
    <n v="6"/>
    <m/>
  </r>
  <r>
    <x v="371"/>
    <s v="TNCUST0026"/>
    <x v="226"/>
    <s v="Thanjavur"/>
    <x v="4"/>
    <s v="Other"/>
    <n v="20"/>
    <s v="56+"/>
    <x v="4"/>
    <x v="12"/>
    <n v="1"/>
    <n v="2643"/>
    <n v="10"/>
    <n v="0.1"/>
    <n v="264.3"/>
    <n v="2378.6999999999998"/>
    <n v="132"/>
    <n v="2510.6999999999998"/>
    <x v="5"/>
    <x v="1"/>
    <x v="0"/>
    <n v="5"/>
    <n v="3.5"/>
  </r>
  <r>
    <x v="372"/>
    <s v="TNCUST0134"/>
    <x v="227"/>
    <s v="Chennai"/>
    <x v="14"/>
    <s v="Female"/>
    <n v="35"/>
    <s v="46-55"/>
    <x v="2"/>
    <x v="2"/>
    <n v="1"/>
    <n v="1242"/>
    <n v="15"/>
    <n v="0.15"/>
    <n v="186.3"/>
    <n v="1055.7"/>
    <n v="72"/>
    <n v="1127.7"/>
    <x v="2"/>
    <x v="1"/>
    <x v="1"/>
    <n v="6"/>
    <m/>
  </r>
  <r>
    <x v="373"/>
    <s v="TNCUST0093"/>
    <x v="228"/>
    <s v="Thanjavur"/>
    <x v="4"/>
    <s v="Other"/>
    <n v="24"/>
    <s v="56+"/>
    <x v="1"/>
    <x v="24"/>
    <n v="5"/>
    <n v="3830"/>
    <n v="0"/>
    <n v="0"/>
    <n v="0"/>
    <n v="19150"/>
    <n v="69"/>
    <n v="19219"/>
    <x v="2"/>
    <x v="2"/>
    <x v="0"/>
    <n v="5"/>
    <n v="4.5"/>
  </r>
  <r>
    <x v="374"/>
    <s v="TNCUST0094"/>
    <x v="229"/>
    <s v="Nagercoil"/>
    <x v="13"/>
    <s v="Female"/>
    <n v="21"/>
    <s v="26-35"/>
    <x v="1"/>
    <x v="20"/>
    <n v="3"/>
    <n v="7312"/>
    <n v="15"/>
    <n v="0.15"/>
    <n v="3290.4"/>
    <n v="18645.599999999999"/>
    <n v="60"/>
    <n v="18705.599999999999"/>
    <x v="5"/>
    <x v="2"/>
    <x v="0"/>
    <n v="1"/>
    <n v="5"/>
  </r>
  <r>
    <x v="375"/>
    <s v="TNCUST0149"/>
    <x v="200"/>
    <s v="Tirunelveli"/>
    <x v="6"/>
    <s v="Female"/>
    <n v="46"/>
    <s v="46-55"/>
    <x v="3"/>
    <x v="6"/>
    <n v="1"/>
    <n v="797"/>
    <n v="0"/>
    <n v="0"/>
    <n v="0"/>
    <n v="797"/>
    <n v="49"/>
    <n v="846"/>
    <x v="2"/>
    <x v="0"/>
    <x v="0"/>
    <n v="2"/>
    <n v="4.5"/>
  </r>
  <r>
    <x v="376"/>
    <s v="TNCUST0014"/>
    <x v="230"/>
    <s v="Dindigul"/>
    <x v="0"/>
    <s v="Female"/>
    <n v="55"/>
    <s v="26-35"/>
    <x v="5"/>
    <x v="27"/>
    <n v="1"/>
    <n v="1906"/>
    <n v="5"/>
    <n v="0.05"/>
    <n v="95.3"/>
    <n v="1810.7"/>
    <n v="76"/>
    <n v="1886.7"/>
    <x v="2"/>
    <x v="0"/>
    <x v="0"/>
    <n v="4"/>
    <n v="4"/>
  </r>
  <r>
    <x v="377"/>
    <s v="TNCUST0029"/>
    <x v="231"/>
    <s v="Vellore"/>
    <x v="5"/>
    <s v="Female"/>
    <n v="35"/>
    <s v="46-55"/>
    <x v="4"/>
    <x v="23"/>
    <n v="3"/>
    <n v="4149"/>
    <n v="10"/>
    <n v="0.1"/>
    <n v="1244.7"/>
    <n v="11202.3"/>
    <n v="197"/>
    <n v="11399.3"/>
    <x v="5"/>
    <x v="1"/>
    <x v="0"/>
    <n v="1"/>
    <n v="3.5"/>
  </r>
  <r>
    <x v="378"/>
    <s v="TNCUST0122"/>
    <x v="224"/>
    <s v="Nagercoil"/>
    <x v="13"/>
    <s v="Female"/>
    <n v="31"/>
    <s v="36-45"/>
    <x v="5"/>
    <x v="27"/>
    <n v="3"/>
    <n v="3084"/>
    <n v="5"/>
    <n v="0.05"/>
    <n v="462.6"/>
    <n v="8789.4"/>
    <n v="239"/>
    <n v="9028.4"/>
    <x v="0"/>
    <x v="0"/>
    <x v="0"/>
    <n v="4"/>
    <n v="4.5"/>
  </r>
  <r>
    <x v="379"/>
    <s v="TNCUST0011"/>
    <x v="232"/>
    <s v="Erode"/>
    <x v="8"/>
    <s v="Female"/>
    <n v="20"/>
    <s v="56+"/>
    <x v="1"/>
    <x v="20"/>
    <n v="2"/>
    <n v="7997"/>
    <n v="20"/>
    <n v="0.2"/>
    <n v="3198.8"/>
    <n v="12795.2"/>
    <n v="166"/>
    <n v="12961.2"/>
    <x v="0"/>
    <x v="2"/>
    <x v="3"/>
    <m/>
    <m/>
  </r>
  <r>
    <x v="380"/>
    <s v="TNCUST0076"/>
    <x v="233"/>
    <s v="Thoothukudi"/>
    <x v="12"/>
    <s v="Male"/>
    <n v="40"/>
    <s v="18-25"/>
    <x v="2"/>
    <x v="18"/>
    <n v="1"/>
    <n v="420"/>
    <n v="0"/>
    <n v="0"/>
    <n v="0"/>
    <n v="420"/>
    <n v="124"/>
    <n v="544"/>
    <x v="0"/>
    <x v="2"/>
    <x v="1"/>
    <n v="2"/>
    <m/>
  </r>
  <r>
    <x v="381"/>
    <s v="TNCUST0163"/>
    <x v="3"/>
    <s v="Dindigul"/>
    <x v="0"/>
    <s v="Male"/>
    <n v="47"/>
    <s v="18-25"/>
    <x v="5"/>
    <x v="27"/>
    <n v="4"/>
    <n v="7898"/>
    <n v="15"/>
    <n v="0.15"/>
    <n v="4738.8"/>
    <n v="26853.200000000001"/>
    <n v="243"/>
    <n v="27096.2"/>
    <x v="5"/>
    <x v="0"/>
    <x v="0"/>
    <n v="6"/>
    <n v="5"/>
  </r>
  <r>
    <x v="382"/>
    <s v="TNCUST0243"/>
    <x v="234"/>
    <s v="Tirunelveli"/>
    <x v="6"/>
    <s v="Other"/>
    <n v="21"/>
    <s v="36-45"/>
    <x v="3"/>
    <x v="13"/>
    <n v="3"/>
    <n v="3404"/>
    <n v="25"/>
    <n v="0.25"/>
    <n v="2553"/>
    <n v="7659"/>
    <n v="245"/>
    <n v="7904"/>
    <x v="0"/>
    <x v="1"/>
    <x v="0"/>
    <n v="6"/>
    <n v="4.5"/>
  </r>
  <r>
    <x v="383"/>
    <s v="TNCUST0139"/>
    <x v="15"/>
    <s v="Erode"/>
    <x v="8"/>
    <s v="Male"/>
    <n v="39"/>
    <s v="46-55"/>
    <x v="5"/>
    <x v="21"/>
    <n v="5"/>
    <n v="6303"/>
    <n v="25"/>
    <n v="0.25"/>
    <n v="7878.75"/>
    <n v="23636.25"/>
    <n v="201"/>
    <n v="23837.25"/>
    <x v="4"/>
    <x v="0"/>
    <x v="0"/>
    <n v="2"/>
    <n v="3.5"/>
  </r>
  <r>
    <x v="384"/>
    <s v="TNCUST0135"/>
    <x v="21"/>
    <s v="Kanchipuram"/>
    <x v="7"/>
    <s v="Male"/>
    <n v="49"/>
    <s v="46-55"/>
    <x v="1"/>
    <x v="20"/>
    <n v="2"/>
    <n v="3864"/>
    <n v="10"/>
    <n v="0.1"/>
    <n v="772.8"/>
    <n v="6955.2"/>
    <n v="115"/>
    <n v="7070.2"/>
    <x v="4"/>
    <x v="0"/>
    <x v="0"/>
    <n v="4"/>
    <n v="4.5"/>
  </r>
  <r>
    <x v="385"/>
    <s v="TNCUST0043"/>
    <x v="235"/>
    <s v="Dindigul"/>
    <x v="0"/>
    <s v="Female"/>
    <n v="22"/>
    <s v="18-25"/>
    <x v="3"/>
    <x v="5"/>
    <n v="4"/>
    <n v="3803"/>
    <n v="15"/>
    <n v="0.15"/>
    <n v="2281.8000000000002"/>
    <n v="12930.2"/>
    <n v="120"/>
    <n v="13050.2"/>
    <x v="4"/>
    <x v="1"/>
    <x v="0"/>
    <n v="3"/>
    <n v="3"/>
  </r>
  <r>
    <x v="386"/>
    <s v="TNCUST0017"/>
    <x v="236"/>
    <s v="Vellore"/>
    <x v="5"/>
    <s v="Male"/>
    <n v="36"/>
    <s v="26-35"/>
    <x v="4"/>
    <x v="7"/>
    <n v="5"/>
    <n v="2801"/>
    <n v="15"/>
    <n v="0.15"/>
    <n v="2100.75"/>
    <n v="11904.25"/>
    <n v="133"/>
    <n v="12037.25"/>
    <x v="3"/>
    <x v="0"/>
    <x v="0"/>
    <n v="1"/>
    <n v="3.5"/>
  </r>
  <r>
    <x v="387"/>
    <s v="TNCUST0124"/>
    <x v="237"/>
    <s v="Tirunelveli"/>
    <x v="6"/>
    <s v="Female"/>
    <n v="34"/>
    <s v="36-45"/>
    <x v="2"/>
    <x v="9"/>
    <n v="3"/>
    <n v="2326"/>
    <n v="10"/>
    <n v="0.1"/>
    <n v="697.8"/>
    <n v="6280.2"/>
    <n v="249"/>
    <n v="6529.2"/>
    <x v="0"/>
    <x v="1"/>
    <x v="0"/>
    <n v="2"/>
    <n v="3.5"/>
  </r>
  <r>
    <x v="388"/>
    <s v="TNCUST0030"/>
    <x v="67"/>
    <s v="Tirunelveli"/>
    <x v="6"/>
    <s v="Male"/>
    <n v="33"/>
    <s v="36-45"/>
    <x v="5"/>
    <x v="21"/>
    <n v="2"/>
    <n v="4973"/>
    <n v="25"/>
    <n v="0.25"/>
    <n v="2486.5"/>
    <n v="7459.5"/>
    <n v="190"/>
    <n v="7649.5"/>
    <x v="3"/>
    <x v="1"/>
    <x v="1"/>
    <n v="2"/>
    <m/>
  </r>
  <r>
    <x v="389"/>
    <s v="TNCUST0104"/>
    <x v="51"/>
    <s v="Vellore"/>
    <x v="5"/>
    <s v="Female"/>
    <n v="25"/>
    <s v="26-35"/>
    <x v="5"/>
    <x v="26"/>
    <n v="2"/>
    <n v="868"/>
    <n v="10"/>
    <n v="0.1"/>
    <n v="173.6"/>
    <n v="1562.4"/>
    <n v="61"/>
    <n v="1623.4"/>
    <x v="5"/>
    <x v="2"/>
    <x v="0"/>
    <n v="3"/>
    <n v="3"/>
  </r>
  <r>
    <x v="390"/>
    <s v="TNCUST0087"/>
    <x v="238"/>
    <s v="Madurai"/>
    <x v="3"/>
    <s v="Other"/>
    <n v="46"/>
    <s v="18-25"/>
    <x v="0"/>
    <x v="8"/>
    <n v="5"/>
    <n v="44221"/>
    <n v="20"/>
    <n v="0.2"/>
    <n v="44221"/>
    <n v="176884"/>
    <n v="224"/>
    <n v="177108"/>
    <x v="4"/>
    <x v="2"/>
    <x v="1"/>
    <n v="6"/>
    <m/>
  </r>
  <r>
    <x v="391"/>
    <s v="TNCUST0050"/>
    <x v="215"/>
    <s v="Karur"/>
    <x v="10"/>
    <s v="Other"/>
    <n v="56"/>
    <s v="56+"/>
    <x v="0"/>
    <x v="3"/>
    <n v="5"/>
    <n v="16119"/>
    <n v="5"/>
    <n v="0.05"/>
    <n v="4029.75"/>
    <n v="76565.25"/>
    <n v="43"/>
    <n v="76608.25"/>
    <x v="2"/>
    <x v="2"/>
    <x v="0"/>
    <n v="1"/>
    <n v="5"/>
  </r>
  <r>
    <x v="392"/>
    <s v="TNCUST0102"/>
    <x v="138"/>
    <s v="Tiruchirappalli"/>
    <x v="1"/>
    <s v="Male"/>
    <n v="60"/>
    <s v="46-55"/>
    <x v="0"/>
    <x v="0"/>
    <n v="5"/>
    <n v="59187"/>
    <n v="15"/>
    <n v="0.15"/>
    <n v="44390.25"/>
    <n v="251544.75"/>
    <n v="174"/>
    <n v="251718.75"/>
    <x v="1"/>
    <x v="2"/>
    <x v="0"/>
    <n v="1"/>
    <n v="4"/>
  </r>
  <r>
    <x v="393"/>
    <s v="TNCUST0074"/>
    <x v="201"/>
    <s v="Tirunelveli"/>
    <x v="6"/>
    <s v="Male"/>
    <n v="46"/>
    <s v="46-55"/>
    <x v="0"/>
    <x v="25"/>
    <n v="3"/>
    <n v="46852"/>
    <n v="25"/>
    <n v="0.25"/>
    <n v="35139"/>
    <n v="105417"/>
    <n v="209"/>
    <n v="105626"/>
    <x v="4"/>
    <x v="2"/>
    <x v="4"/>
    <m/>
    <m/>
  </r>
  <r>
    <x v="394"/>
    <s v="TNCUST0164"/>
    <x v="239"/>
    <s v="Madurai"/>
    <x v="3"/>
    <s v="Female"/>
    <n v="18"/>
    <s v="46-55"/>
    <x v="3"/>
    <x v="15"/>
    <n v="1"/>
    <n v="3703"/>
    <n v="10"/>
    <n v="0.1"/>
    <n v="370.3"/>
    <n v="3332.7"/>
    <n v="171"/>
    <n v="3503.7"/>
    <x v="2"/>
    <x v="0"/>
    <x v="0"/>
    <n v="1"/>
    <n v="4"/>
  </r>
  <r>
    <x v="395"/>
    <s v="TNCUST0144"/>
    <x v="183"/>
    <s v="Vellore"/>
    <x v="5"/>
    <s v="Other"/>
    <n v="49"/>
    <s v="46-55"/>
    <x v="1"/>
    <x v="1"/>
    <n v="2"/>
    <n v="4418"/>
    <n v="0"/>
    <n v="0"/>
    <n v="0"/>
    <n v="8836"/>
    <n v="97"/>
    <n v="8933"/>
    <x v="2"/>
    <x v="1"/>
    <x v="2"/>
    <m/>
    <m/>
  </r>
  <r>
    <x v="396"/>
    <s v="TNCUST0031"/>
    <x v="240"/>
    <s v="Nagercoil"/>
    <x v="13"/>
    <s v="Female"/>
    <n v="33"/>
    <s v="46-55"/>
    <x v="0"/>
    <x v="3"/>
    <n v="3"/>
    <n v="40143"/>
    <n v="10"/>
    <n v="0.1"/>
    <n v="12042.9"/>
    <n v="108386.1"/>
    <n v="145"/>
    <n v="108531.1"/>
    <x v="0"/>
    <x v="0"/>
    <x v="0"/>
    <n v="6"/>
    <n v="3"/>
  </r>
  <r>
    <x v="397"/>
    <s v="TNCUST0149"/>
    <x v="33"/>
    <s v="Hosur"/>
    <x v="9"/>
    <s v="Male"/>
    <n v="34"/>
    <s v="26-35"/>
    <x v="5"/>
    <x v="16"/>
    <n v="4"/>
    <n v="4525"/>
    <n v="0"/>
    <n v="0"/>
    <n v="0"/>
    <n v="18100"/>
    <n v="207"/>
    <n v="18307"/>
    <x v="1"/>
    <x v="2"/>
    <x v="0"/>
    <n v="1"/>
    <n v="3.5"/>
  </r>
  <r>
    <x v="398"/>
    <s v="TNCUST0050"/>
    <x v="241"/>
    <s v="Karur"/>
    <x v="10"/>
    <s v="Other"/>
    <n v="22"/>
    <s v="26-35"/>
    <x v="1"/>
    <x v="20"/>
    <n v="3"/>
    <n v="5612"/>
    <n v="10"/>
    <n v="0.1"/>
    <n v="1683.6"/>
    <n v="15152.4"/>
    <n v="94"/>
    <n v="15246.4"/>
    <x v="0"/>
    <x v="0"/>
    <x v="0"/>
    <n v="6"/>
    <n v="4.5"/>
  </r>
  <r>
    <x v="399"/>
    <s v="TNCUST0096"/>
    <x v="158"/>
    <s v="Nagercoil"/>
    <x v="13"/>
    <s v="Female"/>
    <n v="51"/>
    <s v="46-55"/>
    <x v="4"/>
    <x v="29"/>
    <n v="3"/>
    <n v="2866"/>
    <n v="20"/>
    <n v="0.2"/>
    <n v="1719.6"/>
    <n v="6878.4"/>
    <n v="56"/>
    <n v="6934.4"/>
    <x v="1"/>
    <x v="1"/>
    <x v="0"/>
    <n v="2"/>
    <n v="4"/>
  </r>
  <r>
    <x v="400"/>
    <s v="TNCUST0030"/>
    <x v="69"/>
    <s v="Coimbatore"/>
    <x v="2"/>
    <s v="Male"/>
    <n v="47"/>
    <s v="18-25"/>
    <x v="4"/>
    <x v="7"/>
    <n v="5"/>
    <n v="1943"/>
    <n v="25"/>
    <n v="0.25"/>
    <n v="2428.75"/>
    <n v="7286.25"/>
    <n v="213"/>
    <n v="7499.25"/>
    <x v="5"/>
    <x v="2"/>
    <x v="0"/>
    <n v="4"/>
    <n v="3"/>
  </r>
  <r>
    <x v="401"/>
    <s v="TNCUST0037"/>
    <x v="228"/>
    <s v="Salem"/>
    <x v="11"/>
    <s v="Other"/>
    <n v="26"/>
    <s v="26-35"/>
    <x v="1"/>
    <x v="19"/>
    <n v="2"/>
    <n v="6215"/>
    <n v="10"/>
    <n v="0.1"/>
    <n v="1243"/>
    <n v="11187"/>
    <n v="228"/>
    <n v="11415"/>
    <x v="1"/>
    <x v="1"/>
    <x v="0"/>
    <n v="2"/>
    <n v="5"/>
  </r>
  <r>
    <x v="402"/>
    <s v="TNCUST0121"/>
    <x v="55"/>
    <s v="Tiruchirappalli"/>
    <x v="1"/>
    <s v="Male"/>
    <n v="55"/>
    <s v="36-45"/>
    <x v="4"/>
    <x v="17"/>
    <n v="4"/>
    <n v="1036"/>
    <n v="0"/>
    <n v="0"/>
    <n v="0"/>
    <n v="4144"/>
    <n v="28"/>
    <n v="4172"/>
    <x v="0"/>
    <x v="1"/>
    <x v="0"/>
    <n v="5"/>
    <n v="3"/>
  </r>
  <r>
    <x v="403"/>
    <s v="TNCUST0243"/>
    <x v="242"/>
    <s v="Salem"/>
    <x v="11"/>
    <s v="Other"/>
    <n v="35"/>
    <s v="36-45"/>
    <x v="1"/>
    <x v="24"/>
    <n v="1"/>
    <n v="2038"/>
    <n v="5"/>
    <n v="0.05"/>
    <n v="101.9"/>
    <n v="1936.1"/>
    <n v="27"/>
    <n v="1963.1"/>
    <x v="1"/>
    <x v="1"/>
    <x v="1"/>
    <n v="2"/>
    <m/>
  </r>
  <r>
    <x v="404"/>
    <s v="TNCUST0002"/>
    <x v="20"/>
    <s v="Kanchipuram"/>
    <x v="7"/>
    <s v="Other"/>
    <n v="28"/>
    <s v="18-25"/>
    <x v="3"/>
    <x v="15"/>
    <n v="2"/>
    <n v="3507"/>
    <n v="0"/>
    <n v="0"/>
    <n v="0"/>
    <n v="7014"/>
    <n v="203"/>
    <n v="7217"/>
    <x v="2"/>
    <x v="0"/>
    <x v="0"/>
    <n v="3"/>
    <n v="4.5"/>
  </r>
  <r>
    <x v="405"/>
    <s v="TNCUST0032"/>
    <x v="243"/>
    <s v="Kanchipuram"/>
    <x v="7"/>
    <s v="Female"/>
    <n v="25"/>
    <s v="18-25"/>
    <x v="1"/>
    <x v="11"/>
    <n v="3"/>
    <n v="3306"/>
    <n v="15"/>
    <n v="0.15"/>
    <n v="1487.7"/>
    <n v="8430.2999999999993"/>
    <n v="151"/>
    <n v="8581.2999999999993"/>
    <x v="3"/>
    <x v="1"/>
    <x v="0"/>
    <n v="4"/>
    <n v="4"/>
  </r>
  <r>
    <x v="406"/>
    <s v="TNCUST0142"/>
    <x v="244"/>
    <s v="Vellore"/>
    <x v="5"/>
    <s v="Female"/>
    <n v="46"/>
    <s v="36-45"/>
    <x v="5"/>
    <x v="26"/>
    <n v="5"/>
    <n v="5675"/>
    <n v="10"/>
    <n v="0.1"/>
    <n v="2837.5"/>
    <n v="25537.5"/>
    <n v="208"/>
    <n v="25745.5"/>
    <x v="5"/>
    <x v="1"/>
    <x v="0"/>
    <n v="6"/>
    <n v="3.5"/>
  </r>
  <r>
    <x v="407"/>
    <s v="TNCUST0103"/>
    <x v="225"/>
    <s v="Kanchipuram"/>
    <x v="7"/>
    <s v="Other"/>
    <n v="43"/>
    <s v="56+"/>
    <x v="0"/>
    <x v="28"/>
    <n v="3"/>
    <n v="24300"/>
    <n v="20"/>
    <n v="0.2"/>
    <n v="14580"/>
    <n v="58320"/>
    <n v="41"/>
    <n v="58361"/>
    <x v="0"/>
    <x v="0"/>
    <x v="1"/>
    <n v="2"/>
    <m/>
  </r>
  <r>
    <x v="408"/>
    <s v="TNCUST0194"/>
    <x v="245"/>
    <s v="Karur"/>
    <x v="10"/>
    <s v="Other"/>
    <n v="35"/>
    <s v="46-55"/>
    <x v="4"/>
    <x v="17"/>
    <n v="3"/>
    <n v="3174"/>
    <n v="15"/>
    <n v="0.15"/>
    <n v="1428.3"/>
    <n v="8093.7"/>
    <n v="91"/>
    <n v="8184.7"/>
    <x v="1"/>
    <x v="2"/>
    <x v="1"/>
    <n v="5"/>
    <m/>
  </r>
  <r>
    <x v="409"/>
    <s v="TNCUST0189"/>
    <x v="246"/>
    <s v="Dindigul"/>
    <x v="0"/>
    <s v="Male"/>
    <n v="19"/>
    <s v="18-25"/>
    <x v="3"/>
    <x v="6"/>
    <n v="4"/>
    <n v="592"/>
    <n v="10"/>
    <n v="0.1"/>
    <n v="236.8"/>
    <n v="2131.1999999999998"/>
    <n v="79"/>
    <n v="2210.1999999999998"/>
    <x v="5"/>
    <x v="0"/>
    <x v="0"/>
    <n v="2"/>
    <n v="3"/>
  </r>
  <r>
    <x v="410"/>
    <s v="TNCUST0052"/>
    <x v="148"/>
    <s v="Chennai"/>
    <x v="14"/>
    <s v="Female"/>
    <n v="47"/>
    <s v="46-55"/>
    <x v="4"/>
    <x v="23"/>
    <n v="5"/>
    <n v="1651"/>
    <n v="25"/>
    <n v="0.25"/>
    <n v="2063.75"/>
    <n v="6191.25"/>
    <n v="216"/>
    <n v="6407.25"/>
    <x v="5"/>
    <x v="0"/>
    <x v="1"/>
    <n v="7"/>
    <m/>
  </r>
  <r>
    <x v="411"/>
    <s v="TNCUST0009"/>
    <x v="239"/>
    <s v="Salem"/>
    <x v="11"/>
    <s v="Male"/>
    <n v="47"/>
    <s v="56+"/>
    <x v="3"/>
    <x v="5"/>
    <n v="5"/>
    <n v="3754"/>
    <n v="0"/>
    <n v="0"/>
    <n v="0"/>
    <n v="18770"/>
    <n v="100"/>
    <n v="18870"/>
    <x v="4"/>
    <x v="2"/>
    <x v="0"/>
    <n v="4"/>
    <n v="3"/>
  </r>
  <r>
    <x v="412"/>
    <s v="TNCUST0121"/>
    <x v="55"/>
    <s v="Karur"/>
    <x v="10"/>
    <s v="Female"/>
    <n v="52"/>
    <s v="56+"/>
    <x v="1"/>
    <x v="20"/>
    <n v="4"/>
    <n v="6658"/>
    <n v="0"/>
    <n v="0"/>
    <n v="0"/>
    <n v="26632"/>
    <n v="145"/>
    <n v="26777"/>
    <x v="2"/>
    <x v="0"/>
    <x v="0"/>
    <n v="5"/>
    <n v="4.5"/>
  </r>
  <r>
    <x v="413"/>
    <s v="TNCUST0196"/>
    <x v="57"/>
    <s v="Chennai"/>
    <x v="14"/>
    <s v="Other"/>
    <n v="55"/>
    <s v="36-45"/>
    <x v="2"/>
    <x v="14"/>
    <n v="4"/>
    <n v="1245"/>
    <n v="0"/>
    <n v="0"/>
    <n v="0"/>
    <n v="4980"/>
    <n v="52"/>
    <n v="5032"/>
    <x v="5"/>
    <x v="1"/>
    <x v="0"/>
    <n v="3"/>
    <n v="3"/>
  </r>
  <r>
    <x v="414"/>
    <s v="TNCUST0087"/>
    <x v="247"/>
    <s v="Erode"/>
    <x v="8"/>
    <s v="Male"/>
    <n v="37"/>
    <s v="18-25"/>
    <x v="5"/>
    <x v="26"/>
    <n v="4"/>
    <n v="4301"/>
    <n v="10"/>
    <n v="0.1"/>
    <n v="1720.4"/>
    <n v="15483.6"/>
    <n v="196"/>
    <n v="15679.6"/>
    <x v="3"/>
    <x v="2"/>
    <x v="0"/>
    <n v="7"/>
    <n v="3"/>
  </r>
  <r>
    <x v="415"/>
    <s v="TNCUST0147"/>
    <x v="49"/>
    <s v="Chennai"/>
    <x v="14"/>
    <s v="Male"/>
    <n v="42"/>
    <s v="46-55"/>
    <x v="2"/>
    <x v="18"/>
    <n v="5"/>
    <n v="163"/>
    <n v="20"/>
    <n v="0.2"/>
    <n v="163"/>
    <n v="652"/>
    <n v="101"/>
    <n v="753"/>
    <x v="0"/>
    <x v="0"/>
    <x v="0"/>
    <n v="5"/>
    <n v="4"/>
  </r>
  <r>
    <x v="416"/>
    <s v="TNCUST0216"/>
    <x v="212"/>
    <s v="Dindigul"/>
    <x v="0"/>
    <s v="Other"/>
    <n v="22"/>
    <s v="26-35"/>
    <x v="4"/>
    <x v="12"/>
    <n v="4"/>
    <n v="5867"/>
    <n v="10"/>
    <n v="0.1"/>
    <n v="2346.8000000000002"/>
    <n v="21121.200000000001"/>
    <n v="71"/>
    <n v="21192.2"/>
    <x v="1"/>
    <x v="2"/>
    <x v="3"/>
    <m/>
    <m/>
  </r>
  <r>
    <x v="417"/>
    <s v="TNCUST0089"/>
    <x v="241"/>
    <s v="Chennai"/>
    <x v="14"/>
    <s v="Male"/>
    <n v="45"/>
    <s v="36-45"/>
    <x v="5"/>
    <x v="16"/>
    <n v="4"/>
    <n v="1806"/>
    <n v="10"/>
    <n v="0.1"/>
    <n v="722.4"/>
    <n v="6501.6"/>
    <n v="165"/>
    <n v="6666.6"/>
    <x v="3"/>
    <x v="2"/>
    <x v="0"/>
    <n v="4"/>
    <n v="3.5"/>
  </r>
  <r>
    <x v="418"/>
    <s v="TNCUST0181"/>
    <x v="220"/>
    <s v="Erode"/>
    <x v="8"/>
    <s v="Other"/>
    <n v="58"/>
    <s v="26-35"/>
    <x v="1"/>
    <x v="1"/>
    <n v="3"/>
    <n v="4621"/>
    <n v="15"/>
    <n v="0.15"/>
    <n v="2079.4499999999998"/>
    <n v="11783.55"/>
    <n v="160"/>
    <n v="11943.55"/>
    <x v="3"/>
    <x v="2"/>
    <x v="1"/>
    <n v="1"/>
    <m/>
  </r>
  <r>
    <x v="419"/>
    <s v="TNCUST0192"/>
    <x v="78"/>
    <s v="Tiruchirappalli"/>
    <x v="1"/>
    <s v="Other"/>
    <n v="33"/>
    <s v="36-45"/>
    <x v="1"/>
    <x v="11"/>
    <n v="3"/>
    <n v="5534"/>
    <n v="0"/>
    <n v="0"/>
    <n v="0"/>
    <n v="16602"/>
    <n v="113"/>
    <n v="16715"/>
    <x v="5"/>
    <x v="2"/>
    <x v="0"/>
    <n v="2"/>
    <n v="3.5"/>
  </r>
  <r>
    <x v="420"/>
    <s v="TNCUST0205"/>
    <x v="81"/>
    <s v="Tirunelveli"/>
    <x v="6"/>
    <s v="Female"/>
    <n v="19"/>
    <s v="46-55"/>
    <x v="0"/>
    <x v="3"/>
    <n v="4"/>
    <n v="35787"/>
    <n v="5"/>
    <n v="0.05"/>
    <n v="7157.4"/>
    <n v="135990.6"/>
    <n v="49"/>
    <n v="136039.6"/>
    <x v="5"/>
    <x v="0"/>
    <x v="0"/>
    <n v="2"/>
    <n v="3.5"/>
  </r>
  <r>
    <x v="421"/>
    <s v="TNCUST0247"/>
    <x v="168"/>
    <s v="Erode"/>
    <x v="8"/>
    <s v="Other"/>
    <n v="20"/>
    <s v="46-55"/>
    <x v="2"/>
    <x v="2"/>
    <n v="2"/>
    <n v="199"/>
    <n v="10"/>
    <n v="0.1"/>
    <n v="39.799999999999997"/>
    <n v="358.2"/>
    <n v="65"/>
    <n v="423.2"/>
    <x v="0"/>
    <x v="1"/>
    <x v="1"/>
    <n v="7"/>
    <m/>
  </r>
  <r>
    <x v="422"/>
    <s v="TNCUST0189"/>
    <x v="217"/>
    <s v="Kanchipuram"/>
    <x v="7"/>
    <s v="Other"/>
    <n v="25"/>
    <s v="18-25"/>
    <x v="0"/>
    <x v="25"/>
    <n v="5"/>
    <n v="39856"/>
    <n v="0"/>
    <n v="0"/>
    <n v="0"/>
    <n v="199280"/>
    <n v="234"/>
    <n v="199514"/>
    <x v="3"/>
    <x v="0"/>
    <x v="0"/>
    <n v="2"/>
    <n v="4.5"/>
  </r>
  <r>
    <x v="423"/>
    <s v="TNCUST0056"/>
    <x v="195"/>
    <s v="Kanchipuram"/>
    <x v="7"/>
    <s v="Male"/>
    <n v="33"/>
    <s v="18-25"/>
    <x v="3"/>
    <x v="15"/>
    <n v="3"/>
    <n v="3316"/>
    <n v="10"/>
    <n v="0.1"/>
    <n v="994.8"/>
    <n v="8953.2000000000007"/>
    <n v="169"/>
    <n v="9122.2000000000007"/>
    <x v="2"/>
    <x v="1"/>
    <x v="0"/>
    <n v="7"/>
    <n v="4"/>
  </r>
  <r>
    <x v="424"/>
    <s v="TNCUST0093"/>
    <x v="248"/>
    <s v="Salem"/>
    <x v="11"/>
    <s v="Female"/>
    <n v="35"/>
    <s v="36-45"/>
    <x v="2"/>
    <x v="18"/>
    <n v="3"/>
    <n v="1614"/>
    <n v="10"/>
    <n v="0.1"/>
    <n v="484.2"/>
    <n v="4357.8"/>
    <n v="141"/>
    <n v="4498.8"/>
    <x v="1"/>
    <x v="1"/>
    <x v="0"/>
    <n v="2"/>
    <n v="3.5"/>
  </r>
  <r>
    <x v="425"/>
    <s v="TNCUST0220"/>
    <x v="249"/>
    <s v="Dindigul"/>
    <x v="0"/>
    <s v="Female"/>
    <n v="52"/>
    <s v="46-55"/>
    <x v="3"/>
    <x v="13"/>
    <n v="1"/>
    <n v="1416"/>
    <n v="25"/>
    <n v="0.25"/>
    <n v="354"/>
    <n v="1062"/>
    <n v="227"/>
    <n v="1289"/>
    <x v="0"/>
    <x v="2"/>
    <x v="0"/>
    <n v="1"/>
    <n v="3.5"/>
  </r>
  <r>
    <x v="426"/>
    <s v="TNCUST0222"/>
    <x v="168"/>
    <s v="Karur"/>
    <x v="10"/>
    <s v="Male"/>
    <n v="20"/>
    <s v="46-55"/>
    <x v="5"/>
    <x v="26"/>
    <n v="1"/>
    <n v="3746"/>
    <n v="25"/>
    <n v="0.25"/>
    <n v="936.5"/>
    <n v="2809.5"/>
    <n v="227"/>
    <n v="3036.5"/>
    <x v="5"/>
    <x v="0"/>
    <x v="0"/>
    <n v="4"/>
    <n v="4"/>
  </r>
  <r>
    <x v="427"/>
    <s v="TNCUST0196"/>
    <x v="215"/>
    <s v="Erode"/>
    <x v="8"/>
    <s v="Male"/>
    <n v="19"/>
    <s v="26-35"/>
    <x v="5"/>
    <x v="21"/>
    <n v="1"/>
    <n v="8595"/>
    <n v="20"/>
    <n v="0.2"/>
    <n v="1719"/>
    <n v="6876"/>
    <n v="160"/>
    <n v="7036"/>
    <x v="4"/>
    <x v="2"/>
    <x v="1"/>
    <n v="4"/>
    <m/>
  </r>
  <r>
    <x v="428"/>
    <s v="TNCUST0176"/>
    <x v="135"/>
    <s v="Nagercoil"/>
    <x v="13"/>
    <s v="Female"/>
    <n v="26"/>
    <s v="36-45"/>
    <x v="1"/>
    <x v="20"/>
    <n v="1"/>
    <n v="1073"/>
    <n v="0"/>
    <n v="0"/>
    <n v="0"/>
    <n v="1073"/>
    <n v="152"/>
    <n v="1225"/>
    <x v="5"/>
    <x v="2"/>
    <x v="0"/>
    <n v="7"/>
    <n v="4.5"/>
  </r>
  <r>
    <x v="429"/>
    <s v="TNCUST0006"/>
    <x v="49"/>
    <s v="Kanchipuram"/>
    <x v="7"/>
    <s v="Male"/>
    <n v="54"/>
    <s v="56+"/>
    <x v="1"/>
    <x v="20"/>
    <n v="3"/>
    <n v="1091"/>
    <n v="15"/>
    <n v="0.15"/>
    <n v="490.95"/>
    <n v="2782.05"/>
    <n v="120"/>
    <n v="2902.05"/>
    <x v="4"/>
    <x v="0"/>
    <x v="0"/>
    <n v="7"/>
    <n v="3.5"/>
  </r>
  <r>
    <x v="430"/>
    <s v="TNCUST0031"/>
    <x v="196"/>
    <s v="Dindigul"/>
    <x v="0"/>
    <s v="Male"/>
    <n v="28"/>
    <s v="56+"/>
    <x v="4"/>
    <x v="17"/>
    <n v="4"/>
    <n v="2544"/>
    <n v="15"/>
    <n v="0.15"/>
    <n v="1526.4"/>
    <n v="8649.6"/>
    <n v="58"/>
    <n v="8707.6"/>
    <x v="5"/>
    <x v="2"/>
    <x v="0"/>
    <n v="3"/>
    <n v="4.5"/>
  </r>
  <r>
    <x v="431"/>
    <s v="TNCUST0187"/>
    <x v="130"/>
    <s v="Kanchipuram"/>
    <x v="7"/>
    <s v="Other"/>
    <n v="31"/>
    <s v="26-35"/>
    <x v="1"/>
    <x v="11"/>
    <n v="1"/>
    <n v="6514"/>
    <n v="15"/>
    <n v="0.15"/>
    <n v="977.1"/>
    <n v="5536.9"/>
    <n v="130"/>
    <n v="5666.9"/>
    <x v="5"/>
    <x v="1"/>
    <x v="0"/>
    <n v="5"/>
    <n v="4"/>
  </r>
  <r>
    <x v="432"/>
    <s v="TNCUST0224"/>
    <x v="250"/>
    <s v="Erode"/>
    <x v="8"/>
    <s v="Female"/>
    <n v="26"/>
    <s v="46-55"/>
    <x v="4"/>
    <x v="17"/>
    <n v="3"/>
    <n v="2329"/>
    <n v="25"/>
    <n v="0.25"/>
    <n v="1746.75"/>
    <n v="5240.25"/>
    <n v="41"/>
    <n v="5281.25"/>
    <x v="4"/>
    <x v="1"/>
    <x v="1"/>
    <n v="4"/>
    <m/>
  </r>
  <r>
    <x v="433"/>
    <s v="TNCUST0248"/>
    <x v="251"/>
    <s v="Hosur"/>
    <x v="9"/>
    <s v="Other"/>
    <n v="60"/>
    <s v="18-25"/>
    <x v="2"/>
    <x v="18"/>
    <n v="5"/>
    <n v="2361"/>
    <n v="10"/>
    <n v="0.1"/>
    <n v="1180.5"/>
    <n v="10624.5"/>
    <n v="140"/>
    <n v="10764.5"/>
    <x v="0"/>
    <x v="2"/>
    <x v="3"/>
    <m/>
    <m/>
  </r>
  <r>
    <x v="434"/>
    <s v="TNCUST0225"/>
    <x v="24"/>
    <s v="Thoothukudi"/>
    <x v="12"/>
    <s v="Female"/>
    <n v="49"/>
    <s v="26-35"/>
    <x v="3"/>
    <x v="6"/>
    <n v="3"/>
    <n v="3804"/>
    <n v="0"/>
    <n v="0"/>
    <n v="0"/>
    <n v="11412"/>
    <n v="86"/>
    <n v="11498"/>
    <x v="0"/>
    <x v="2"/>
    <x v="0"/>
    <n v="5"/>
    <n v="4"/>
  </r>
  <r>
    <x v="435"/>
    <s v="TNCUST0213"/>
    <x v="80"/>
    <s v="Hosur"/>
    <x v="9"/>
    <s v="Female"/>
    <n v="57"/>
    <s v="56+"/>
    <x v="3"/>
    <x v="6"/>
    <n v="2"/>
    <n v="673"/>
    <n v="10"/>
    <n v="0.1"/>
    <n v="134.6"/>
    <n v="1211.4000000000001"/>
    <n v="130"/>
    <n v="1341.4"/>
    <x v="1"/>
    <x v="2"/>
    <x v="1"/>
    <n v="3"/>
    <m/>
  </r>
  <r>
    <x v="436"/>
    <s v="TNCUST0120"/>
    <x v="252"/>
    <s v="Karur"/>
    <x v="10"/>
    <s v="Female"/>
    <n v="28"/>
    <s v="18-25"/>
    <x v="4"/>
    <x v="12"/>
    <n v="4"/>
    <n v="4952"/>
    <n v="0"/>
    <n v="0"/>
    <n v="0"/>
    <n v="19808"/>
    <n v="29"/>
    <n v="19837"/>
    <x v="5"/>
    <x v="1"/>
    <x v="0"/>
    <n v="3"/>
    <n v="5"/>
  </r>
  <r>
    <x v="437"/>
    <s v="TNCUST0131"/>
    <x v="220"/>
    <s v="Vellore"/>
    <x v="5"/>
    <s v="Female"/>
    <n v="28"/>
    <s v="56+"/>
    <x v="5"/>
    <x v="16"/>
    <n v="4"/>
    <n v="2143"/>
    <n v="0"/>
    <n v="0"/>
    <n v="0"/>
    <n v="8572"/>
    <n v="92"/>
    <n v="8664"/>
    <x v="4"/>
    <x v="0"/>
    <x v="0"/>
    <n v="7"/>
    <n v="5"/>
  </r>
  <r>
    <x v="438"/>
    <s v="TNCUST0096"/>
    <x v="253"/>
    <s v="Tiruchirappalli"/>
    <x v="1"/>
    <s v="Other"/>
    <n v="25"/>
    <s v="18-25"/>
    <x v="3"/>
    <x v="13"/>
    <n v="5"/>
    <n v="3296"/>
    <n v="25"/>
    <n v="0.25"/>
    <n v="4120"/>
    <n v="12360"/>
    <n v="104"/>
    <n v="12464"/>
    <x v="1"/>
    <x v="1"/>
    <x v="0"/>
    <n v="3"/>
    <n v="4"/>
  </r>
  <r>
    <x v="439"/>
    <s v="TNCUST0034"/>
    <x v="71"/>
    <s v="Chennai"/>
    <x v="14"/>
    <s v="Male"/>
    <n v="54"/>
    <s v="18-25"/>
    <x v="0"/>
    <x v="28"/>
    <n v="4"/>
    <n v="60313"/>
    <n v="25"/>
    <n v="0.25"/>
    <n v="60313"/>
    <n v="180939"/>
    <n v="135"/>
    <n v="181074"/>
    <x v="4"/>
    <x v="2"/>
    <x v="1"/>
    <n v="6"/>
    <m/>
  </r>
  <r>
    <x v="440"/>
    <s v="TNCUST0073"/>
    <x v="254"/>
    <s v="Tirunelveli"/>
    <x v="6"/>
    <s v="Other"/>
    <n v="42"/>
    <s v="26-35"/>
    <x v="0"/>
    <x v="0"/>
    <n v="5"/>
    <n v="50789"/>
    <n v="15"/>
    <n v="0.15"/>
    <n v="38091.75"/>
    <n v="215853.25"/>
    <n v="238"/>
    <n v="216091.25"/>
    <x v="0"/>
    <x v="2"/>
    <x v="0"/>
    <n v="2"/>
    <n v="4"/>
  </r>
  <r>
    <x v="441"/>
    <s v="TNCUST0109"/>
    <x v="128"/>
    <s v="Vellore"/>
    <x v="5"/>
    <s v="Male"/>
    <n v="54"/>
    <s v="46-55"/>
    <x v="2"/>
    <x v="14"/>
    <n v="5"/>
    <n v="1585"/>
    <n v="15"/>
    <n v="0.15"/>
    <n v="1188.75"/>
    <n v="6736.25"/>
    <n v="119"/>
    <n v="6855.25"/>
    <x v="1"/>
    <x v="0"/>
    <x v="0"/>
    <n v="3"/>
    <n v="4.5"/>
  </r>
  <r>
    <x v="442"/>
    <s v="TNCUST0166"/>
    <x v="172"/>
    <s v="Madurai"/>
    <x v="3"/>
    <s v="Other"/>
    <n v="58"/>
    <s v="18-25"/>
    <x v="2"/>
    <x v="18"/>
    <n v="1"/>
    <n v="1978"/>
    <n v="25"/>
    <n v="0.25"/>
    <n v="494.5"/>
    <n v="1483.5"/>
    <n v="59"/>
    <n v="1542.5"/>
    <x v="1"/>
    <x v="2"/>
    <x v="1"/>
    <n v="5"/>
    <m/>
  </r>
  <r>
    <x v="443"/>
    <s v="TNCUST0131"/>
    <x v="92"/>
    <s v="Erode"/>
    <x v="8"/>
    <s v="Female"/>
    <n v="50"/>
    <s v="46-55"/>
    <x v="0"/>
    <x v="28"/>
    <n v="3"/>
    <n v="20278"/>
    <n v="10"/>
    <n v="0.1"/>
    <n v="6083.4"/>
    <n v="54750.6"/>
    <n v="161"/>
    <n v="54911.6"/>
    <x v="0"/>
    <x v="2"/>
    <x v="0"/>
    <n v="1"/>
    <n v="3"/>
  </r>
  <r>
    <x v="444"/>
    <s v="TNCUST0012"/>
    <x v="78"/>
    <s v="Dindigul"/>
    <x v="0"/>
    <s v="Male"/>
    <n v="29"/>
    <s v="46-55"/>
    <x v="1"/>
    <x v="1"/>
    <n v="3"/>
    <n v="4524"/>
    <n v="0"/>
    <n v="0"/>
    <n v="0"/>
    <n v="13572"/>
    <n v="189"/>
    <n v="13761"/>
    <x v="4"/>
    <x v="2"/>
    <x v="0"/>
    <n v="2"/>
    <n v="4"/>
  </r>
  <r>
    <x v="445"/>
    <s v="TNCUST0137"/>
    <x v="110"/>
    <s v="Tirunelveli"/>
    <x v="6"/>
    <s v="Male"/>
    <n v="45"/>
    <s v="18-25"/>
    <x v="3"/>
    <x v="6"/>
    <n v="4"/>
    <n v="908"/>
    <n v="25"/>
    <n v="0.25"/>
    <n v="908"/>
    <n v="2724"/>
    <n v="86"/>
    <n v="2810"/>
    <x v="5"/>
    <x v="1"/>
    <x v="3"/>
    <m/>
    <m/>
  </r>
  <r>
    <x v="446"/>
    <s v="TNCUST0023"/>
    <x v="166"/>
    <s v="Chennai"/>
    <x v="14"/>
    <s v="Male"/>
    <n v="43"/>
    <s v="26-35"/>
    <x v="4"/>
    <x v="23"/>
    <n v="4"/>
    <n v="5788"/>
    <n v="20"/>
    <n v="0.2"/>
    <n v="4630.3999999999996"/>
    <n v="18521.599999999999"/>
    <n v="192"/>
    <n v="18713.599999999999"/>
    <x v="0"/>
    <x v="1"/>
    <x v="0"/>
    <n v="6"/>
    <n v="4"/>
  </r>
  <r>
    <x v="447"/>
    <s v="TNCUST0198"/>
    <x v="255"/>
    <s v="Coimbatore"/>
    <x v="2"/>
    <s v="Female"/>
    <n v="37"/>
    <s v="26-35"/>
    <x v="0"/>
    <x v="3"/>
    <n v="1"/>
    <n v="28224"/>
    <n v="25"/>
    <n v="0.25"/>
    <n v="7056"/>
    <n v="21168"/>
    <n v="157"/>
    <n v="21325"/>
    <x v="5"/>
    <x v="2"/>
    <x v="2"/>
    <m/>
    <m/>
  </r>
  <r>
    <x v="448"/>
    <s v="TNCUST0086"/>
    <x v="231"/>
    <s v="Chennai"/>
    <x v="14"/>
    <s v="Male"/>
    <n v="43"/>
    <s v="18-25"/>
    <x v="0"/>
    <x v="3"/>
    <n v="2"/>
    <n v="59161"/>
    <n v="20"/>
    <n v="0.2"/>
    <n v="23664.400000000001"/>
    <n v="94657.600000000006"/>
    <n v="95"/>
    <n v="94752.6"/>
    <x v="4"/>
    <x v="0"/>
    <x v="0"/>
    <n v="7"/>
    <n v="3"/>
  </r>
  <r>
    <x v="449"/>
    <s v="TNCUST0183"/>
    <x v="91"/>
    <s v="Erode"/>
    <x v="8"/>
    <s v="Male"/>
    <n v="49"/>
    <s v="56+"/>
    <x v="2"/>
    <x v="18"/>
    <n v="5"/>
    <n v="2076"/>
    <n v="20"/>
    <n v="0.2"/>
    <n v="2076"/>
    <n v="8304"/>
    <n v="176"/>
    <n v="8480"/>
    <x v="0"/>
    <x v="2"/>
    <x v="0"/>
    <n v="7"/>
    <n v="3.5"/>
  </r>
  <r>
    <x v="450"/>
    <s v="TNCUST0006"/>
    <x v="256"/>
    <s v="Thanjavur"/>
    <x v="4"/>
    <s v="Male"/>
    <n v="45"/>
    <s v="36-45"/>
    <x v="5"/>
    <x v="16"/>
    <n v="1"/>
    <n v="7134"/>
    <n v="20"/>
    <n v="0.2"/>
    <n v="1426.8"/>
    <n v="5707.2"/>
    <n v="108"/>
    <n v="5815.2"/>
    <x v="4"/>
    <x v="1"/>
    <x v="3"/>
    <m/>
    <m/>
  </r>
  <r>
    <x v="451"/>
    <s v="TNCUST0246"/>
    <x v="209"/>
    <s v="Vellore"/>
    <x v="5"/>
    <s v="Female"/>
    <n v="42"/>
    <s v="36-45"/>
    <x v="5"/>
    <x v="21"/>
    <n v="2"/>
    <n v="9928"/>
    <n v="25"/>
    <n v="0.25"/>
    <n v="4964"/>
    <n v="14892"/>
    <n v="53"/>
    <n v="14945"/>
    <x v="5"/>
    <x v="1"/>
    <x v="1"/>
    <n v="6"/>
    <m/>
  </r>
  <r>
    <x v="452"/>
    <s v="TNCUST0143"/>
    <x v="148"/>
    <s v="Thanjavur"/>
    <x v="4"/>
    <s v="Male"/>
    <n v="33"/>
    <s v="18-25"/>
    <x v="4"/>
    <x v="12"/>
    <n v="1"/>
    <n v="1457"/>
    <n v="15"/>
    <n v="0.15"/>
    <n v="218.55"/>
    <n v="1238.45"/>
    <n v="126"/>
    <n v="1364.45"/>
    <x v="1"/>
    <x v="2"/>
    <x v="0"/>
    <n v="3"/>
    <n v="3.5"/>
  </r>
  <r>
    <x v="453"/>
    <s v="TNCUST0201"/>
    <x v="111"/>
    <s v="Tirunelveli"/>
    <x v="6"/>
    <s v="Female"/>
    <n v="34"/>
    <s v="18-25"/>
    <x v="1"/>
    <x v="20"/>
    <n v="2"/>
    <n v="1333"/>
    <n v="20"/>
    <n v="0.2"/>
    <n v="533.20000000000005"/>
    <n v="2132.8000000000002"/>
    <n v="163"/>
    <n v="2295.8000000000002"/>
    <x v="3"/>
    <x v="2"/>
    <x v="0"/>
    <n v="4"/>
    <n v="4"/>
  </r>
  <r>
    <x v="454"/>
    <s v="TNCUST0211"/>
    <x v="53"/>
    <s v="Karur"/>
    <x v="10"/>
    <s v="Other"/>
    <n v="24"/>
    <s v="18-25"/>
    <x v="4"/>
    <x v="29"/>
    <n v="5"/>
    <n v="813"/>
    <n v="0"/>
    <n v="0"/>
    <n v="0"/>
    <n v="4065"/>
    <n v="220"/>
    <n v="4285"/>
    <x v="3"/>
    <x v="1"/>
    <x v="3"/>
    <m/>
    <m/>
  </r>
  <r>
    <x v="455"/>
    <s v="TNCUST0086"/>
    <x v="67"/>
    <s v="Madurai"/>
    <x v="3"/>
    <s v="Male"/>
    <n v="41"/>
    <s v="18-25"/>
    <x v="1"/>
    <x v="24"/>
    <n v="2"/>
    <n v="4544"/>
    <n v="15"/>
    <n v="0.15"/>
    <n v="1363.2"/>
    <n v="7724.8"/>
    <n v="45"/>
    <n v="7769.8"/>
    <x v="2"/>
    <x v="2"/>
    <x v="1"/>
    <n v="6"/>
    <m/>
  </r>
  <r>
    <x v="456"/>
    <s v="TNCUST0063"/>
    <x v="115"/>
    <s v="Erode"/>
    <x v="8"/>
    <s v="Male"/>
    <n v="60"/>
    <s v="56+"/>
    <x v="0"/>
    <x v="3"/>
    <n v="4"/>
    <n v="45537"/>
    <n v="10"/>
    <n v="0.1"/>
    <n v="18214.8"/>
    <n v="163933.20000000001"/>
    <n v="126"/>
    <n v="164059.20000000001"/>
    <x v="5"/>
    <x v="1"/>
    <x v="1"/>
    <n v="6"/>
    <m/>
  </r>
  <r>
    <x v="457"/>
    <s v="TNCUST0081"/>
    <x v="191"/>
    <s v="Madurai"/>
    <x v="3"/>
    <s v="Female"/>
    <n v="39"/>
    <s v="26-35"/>
    <x v="2"/>
    <x v="18"/>
    <n v="4"/>
    <n v="201"/>
    <n v="0"/>
    <n v="0"/>
    <n v="0"/>
    <n v="804"/>
    <n v="152"/>
    <n v="956"/>
    <x v="5"/>
    <x v="1"/>
    <x v="1"/>
    <n v="1"/>
    <m/>
  </r>
  <r>
    <x v="458"/>
    <s v="TNCUST0233"/>
    <x v="257"/>
    <s v="Erode"/>
    <x v="8"/>
    <s v="Female"/>
    <n v="38"/>
    <s v="18-25"/>
    <x v="0"/>
    <x v="3"/>
    <n v="5"/>
    <n v="8377"/>
    <n v="25"/>
    <n v="0.25"/>
    <n v="10471.25"/>
    <n v="31413.75"/>
    <n v="243"/>
    <n v="31656.75"/>
    <x v="1"/>
    <x v="0"/>
    <x v="1"/>
    <n v="6"/>
    <m/>
  </r>
  <r>
    <x v="459"/>
    <s v="TNCUST0086"/>
    <x v="38"/>
    <s v="Thanjavur"/>
    <x v="4"/>
    <s v="Female"/>
    <n v="20"/>
    <s v="26-35"/>
    <x v="4"/>
    <x v="23"/>
    <n v="4"/>
    <n v="4859"/>
    <n v="25"/>
    <n v="0.25"/>
    <n v="4859"/>
    <n v="14577"/>
    <n v="70"/>
    <n v="14647"/>
    <x v="3"/>
    <x v="0"/>
    <x v="0"/>
    <n v="1"/>
    <n v="4.5"/>
  </r>
  <r>
    <x v="460"/>
    <s v="TNCUST0214"/>
    <x v="258"/>
    <s v="Salem"/>
    <x v="11"/>
    <s v="Female"/>
    <n v="34"/>
    <s v="46-55"/>
    <x v="4"/>
    <x v="17"/>
    <n v="5"/>
    <n v="2957"/>
    <n v="5"/>
    <n v="0.05"/>
    <n v="739.25"/>
    <n v="14045.75"/>
    <n v="247"/>
    <n v="14292.75"/>
    <x v="3"/>
    <x v="1"/>
    <x v="0"/>
    <n v="5"/>
    <n v="3.5"/>
  </r>
  <r>
    <x v="461"/>
    <s v="TNCUST0207"/>
    <x v="232"/>
    <s v="Hosur"/>
    <x v="9"/>
    <s v="Other"/>
    <n v="39"/>
    <s v="56+"/>
    <x v="0"/>
    <x v="25"/>
    <n v="3"/>
    <n v="67318"/>
    <n v="0"/>
    <n v="0"/>
    <n v="0"/>
    <n v="201954"/>
    <n v="166"/>
    <n v="202120"/>
    <x v="3"/>
    <x v="0"/>
    <x v="0"/>
    <n v="4"/>
    <n v="3.5"/>
  </r>
  <r>
    <x v="462"/>
    <s v="TNCUST0084"/>
    <x v="49"/>
    <s v="Karur"/>
    <x v="10"/>
    <s v="Other"/>
    <n v="33"/>
    <s v="56+"/>
    <x v="1"/>
    <x v="1"/>
    <n v="5"/>
    <n v="6828"/>
    <n v="25"/>
    <n v="0.25"/>
    <n v="8535"/>
    <n v="25605"/>
    <n v="55"/>
    <n v="25660"/>
    <x v="2"/>
    <x v="2"/>
    <x v="0"/>
    <n v="5"/>
    <n v="3"/>
  </r>
  <r>
    <x v="463"/>
    <s v="TNCUST0151"/>
    <x v="92"/>
    <s v="Vellore"/>
    <x v="5"/>
    <s v="Other"/>
    <n v="51"/>
    <s v="56+"/>
    <x v="0"/>
    <x v="3"/>
    <n v="4"/>
    <n v="54808"/>
    <n v="5"/>
    <n v="0.05"/>
    <n v="10961.6"/>
    <n v="208270.4"/>
    <n v="134"/>
    <n v="208404.4"/>
    <x v="5"/>
    <x v="2"/>
    <x v="0"/>
    <n v="3"/>
    <n v="4"/>
  </r>
  <r>
    <x v="464"/>
    <s v="TNCUST0031"/>
    <x v="108"/>
    <s v="Thanjavur"/>
    <x v="4"/>
    <s v="Other"/>
    <n v="51"/>
    <s v="26-35"/>
    <x v="2"/>
    <x v="18"/>
    <n v="4"/>
    <n v="671"/>
    <n v="15"/>
    <n v="0.15"/>
    <n v="402.6"/>
    <n v="2281.4"/>
    <n v="53"/>
    <n v="2334.4"/>
    <x v="5"/>
    <x v="2"/>
    <x v="1"/>
    <n v="5"/>
    <m/>
  </r>
  <r>
    <x v="465"/>
    <s v="TNCUST0096"/>
    <x v="67"/>
    <s v="Chennai"/>
    <x v="14"/>
    <s v="Female"/>
    <n v="41"/>
    <s v="36-45"/>
    <x v="1"/>
    <x v="20"/>
    <n v="5"/>
    <n v="3427"/>
    <n v="20"/>
    <n v="0.2"/>
    <n v="3427"/>
    <n v="13708"/>
    <n v="153"/>
    <n v="13861"/>
    <x v="5"/>
    <x v="1"/>
    <x v="0"/>
    <n v="1"/>
    <n v="4"/>
  </r>
  <r>
    <x v="466"/>
    <s v="TNCUST0107"/>
    <x v="167"/>
    <s v="Nagercoil"/>
    <x v="13"/>
    <s v="Female"/>
    <n v="22"/>
    <s v="56+"/>
    <x v="4"/>
    <x v="7"/>
    <n v="5"/>
    <n v="798"/>
    <n v="25"/>
    <n v="0.25"/>
    <n v="997.5"/>
    <n v="2992.5"/>
    <n v="51"/>
    <n v="3043.5"/>
    <x v="1"/>
    <x v="0"/>
    <x v="0"/>
    <n v="3"/>
    <n v="3"/>
  </r>
  <r>
    <x v="467"/>
    <s v="TNCUST0160"/>
    <x v="71"/>
    <s v="Vellore"/>
    <x v="5"/>
    <s v="Female"/>
    <n v="57"/>
    <s v="46-55"/>
    <x v="5"/>
    <x v="21"/>
    <n v="4"/>
    <n v="8570"/>
    <n v="25"/>
    <n v="0.25"/>
    <n v="8570"/>
    <n v="25710"/>
    <n v="241"/>
    <n v="25951"/>
    <x v="2"/>
    <x v="2"/>
    <x v="0"/>
    <n v="1"/>
    <n v="5"/>
  </r>
  <r>
    <x v="468"/>
    <s v="TNCUST0166"/>
    <x v="259"/>
    <s v="Tirunelveli"/>
    <x v="6"/>
    <s v="Male"/>
    <n v="53"/>
    <s v="56+"/>
    <x v="3"/>
    <x v="13"/>
    <n v="4"/>
    <n v="3046"/>
    <n v="20"/>
    <n v="0.2"/>
    <n v="2436.8000000000002"/>
    <n v="9747.2000000000007"/>
    <n v="217"/>
    <n v="9964.2000000000007"/>
    <x v="0"/>
    <x v="1"/>
    <x v="1"/>
    <n v="3"/>
    <m/>
  </r>
  <r>
    <x v="469"/>
    <s v="TNCUST0202"/>
    <x v="220"/>
    <s v="Thanjavur"/>
    <x v="4"/>
    <s v="Male"/>
    <n v="35"/>
    <s v="26-35"/>
    <x v="3"/>
    <x v="15"/>
    <n v="1"/>
    <n v="3823"/>
    <n v="0"/>
    <n v="0"/>
    <n v="0"/>
    <n v="3823"/>
    <n v="156"/>
    <n v="3979"/>
    <x v="4"/>
    <x v="0"/>
    <x v="1"/>
    <n v="1"/>
    <m/>
  </r>
  <r>
    <x v="470"/>
    <s v="TNCUST0098"/>
    <x v="201"/>
    <s v="Vellore"/>
    <x v="5"/>
    <s v="Female"/>
    <n v="51"/>
    <s v="18-25"/>
    <x v="0"/>
    <x v="8"/>
    <n v="5"/>
    <n v="42799"/>
    <n v="0"/>
    <n v="0"/>
    <n v="0"/>
    <n v="213995"/>
    <n v="66"/>
    <n v="214061"/>
    <x v="0"/>
    <x v="1"/>
    <x v="0"/>
    <n v="1"/>
    <n v="4"/>
  </r>
  <r>
    <x v="471"/>
    <s v="TNCUST0015"/>
    <x v="71"/>
    <s v="Thoothukudi"/>
    <x v="12"/>
    <s v="Female"/>
    <n v="19"/>
    <s v="46-55"/>
    <x v="4"/>
    <x v="12"/>
    <n v="2"/>
    <n v="2493"/>
    <n v="25"/>
    <n v="0.25"/>
    <n v="1246.5"/>
    <n v="3739.5"/>
    <n v="177"/>
    <n v="3916.5"/>
    <x v="0"/>
    <x v="2"/>
    <x v="0"/>
    <n v="2"/>
    <n v="5"/>
  </r>
  <r>
    <x v="472"/>
    <s v="TNCUST0244"/>
    <x v="260"/>
    <s v="Madurai"/>
    <x v="3"/>
    <s v="Male"/>
    <n v="50"/>
    <s v="36-45"/>
    <x v="2"/>
    <x v="14"/>
    <n v="3"/>
    <n v="909"/>
    <n v="20"/>
    <n v="0.2"/>
    <n v="545.4"/>
    <n v="2181.6"/>
    <n v="146"/>
    <n v="2327.6"/>
    <x v="0"/>
    <x v="2"/>
    <x v="0"/>
    <n v="7"/>
    <n v="4"/>
  </r>
  <r>
    <x v="473"/>
    <s v="TNCUST0167"/>
    <x v="261"/>
    <s v="Vellore"/>
    <x v="5"/>
    <s v="Male"/>
    <n v="33"/>
    <s v="36-45"/>
    <x v="3"/>
    <x v="6"/>
    <n v="1"/>
    <n v="3892"/>
    <n v="0"/>
    <n v="0"/>
    <n v="0"/>
    <n v="3892"/>
    <n v="170"/>
    <n v="4062"/>
    <x v="3"/>
    <x v="2"/>
    <x v="0"/>
    <n v="1"/>
    <n v="4.5"/>
  </r>
  <r>
    <x v="474"/>
    <s v="TNCUST0209"/>
    <x v="145"/>
    <s v="Vellore"/>
    <x v="5"/>
    <s v="Female"/>
    <n v="18"/>
    <s v="56+"/>
    <x v="0"/>
    <x v="8"/>
    <n v="2"/>
    <n v="19460"/>
    <n v="20"/>
    <n v="0.2"/>
    <n v="7784"/>
    <n v="31136"/>
    <n v="162"/>
    <n v="31298"/>
    <x v="1"/>
    <x v="0"/>
    <x v="3"/>
    <m/>
    <m/>
  </r>
  <r>
    <x v="475"/>
    <s v="TNCUST0190"/>
    <x v="138"/>
    <s v="Madurai"/>
    <x v="3"/>
    <s v="Other"/>
    <n v="20"/>
    <s v="56+"/>
    <x v="0"/>
    <x v="0"/>
    <n v="4"/>
    <n v="36622"/>
    <n v="25"/>
    <n v="0.25"/>
    <n v="36622"/>
    <n v="109866"/>
    <n v="235"/>
    <n v="110101"/>
    <x v="0"/>
    <x v="2"/>
    <x v="0"/>
    <n v="3"/>
    <n v="3.5"/>
  </r>
  <r>
    <x v="476"/>
    <s v="TNCUST0070"/>
    <x v="262"/>
    <s v="Coimbatore"/>
    <x v="2"/>
    <s v="Male"/>
    <n v="46"/>
    <s v="36-45"/>
    <x v="2"/>
    <x v="2"/>
    <n v="2"/>
    <n v="943"/>
    <n v="10"/>
    <n v="0.1"/>
    <n v="188.6"/>
    <n v="1697.4"/>
    <n v="107"/>
    <n v="1804.4"/>
    <x v="1"/>
    <x v="1"/>
    <x v="4"/>
    <m/>
    <m/>
  </r>
  <r>
    <x v="477"/>
    <s v="TNCUST0196"/>
    <x v="13"/>
    <s v="Vellore"/>
    <x v="5"/>
    <s v="Female"/>
    <n v="49"/>
    <s v="56+"/>
    <x v="3"/>
    <x v="5"/>
    <n v="1"/>
    <n v="167"/>
    <n v="0"/>
    <n v="0"/>
    <n v="0"/>
    <n v="167"/>
    <n v="125"/>
    <n v="292"/>
    <x v="0"/>
    <x v="0"/>
    <x v="1"/>
    <n v="6"/>
    <m/>
  </r>
  <r>
    <x v="478"/>
    <s v="TNCUST0095"/>
    <x v="155"/>
    <s v="Dindigul"/>
    <x v="0"/>
    <s v="Male"/>
    <n v="25"/>
    <s v="46-55"/>
    <x v="0"/>
    <x v="8"/>
    <n v="1"/>
    <n v="59150"/>
    <n v="20"/>
    <n v="0.2"/>
    <n v="11830"/>
    <n v="47320"/>
    <n v="65"/>
    <n v="47385"/>
    <x v="0"/>
    <x v="1"/>
    <x v="0"/>
    <n v="1"/>
    <n v="4"/>
  </r>
  <r>
    <x v="479"/>
    <s v="TNCUST0002"/>
    <x v="108"/>
    <s v="Hosur"/>
    <x v="9"/>
    <s v="Male"/>
    <n v="56"/>
    <s v="46-55"/>
    <x v="0"/>
    <x v="25"/>
    <n v="3"/>
    <n v="25901"/>
    <n v="10"/>
    <n v="0.1"/>
    <n v="7770.3"/>
    <n v="69932.7"/>
    <n v="146"/>
    <n v="70078.7"/>
    <x v="0"/>
    <x v="2"/>
    <x v="0"/>
    <n v="6"/>
    <n v="3.5"/>
  </r>
  <r>
    <x v="480"/>
    <s v="TNCUST0226"/>
    <x v="100"/>
    <s v="Thanjavur"/>
    <x v="4"/>
    <s v="Other"/>
    <n v="54"/>
    <s v="36-45"/>
    <x v="3"/>
    <x v="6"/>
    <n v="2"/>
    <n v="868"/>
    <n v="20"/>
    <n v="0.2"/>
    <n v="347.2"/>
    <n v="1388.8"/>
    <n v="36"/>
    <n v="1424.8"/>
    <x v="2"/>
    <x v="0"/>
    <x v="0"/>
    <n v="3"/>
    <n v="3.5"/>
  </r>
  <r>
    <x v="481"/>
    <s v="TNCUST0111"/>
    <x v="263"/>
    <s v="Chennai"/>
    <x v="14"/>
    <s v="Female"/>
    <n v="38"/>
    <s v="36-45"/>
    <x v="1"/>
    <x v="1"/>
    <n v="5"/>
    <n v="3898"/>
    <n v="25"/>
    <n v="0.25"/>
    <n v="4872.5"/>
    <n v="14617.5"/>
    <n v="186"/>
    <n v="14803.5"/>
    <x v="0"/>
    <x v="0"/>
    <x v="1"/>
    <n v="7"/>
    <m/>
  </r>
  <r>
    <x v="482"/>
    <s v="TNCUST0021"/>
    <x v="232"/>
    <s v="Thoothukudi"/>
    <x v="12"/>
    <s v="Other"/>
    <n v="30"/>
    <s v="18-25"/>
    <x v="2"/>
    <x v="18"/>
    <n v="3"/>
    <n v="272"/>
    <n v="15"/>
    <n v="0.15"/>
    <n v="122.4"/>
    <n v="693.6"/>
    <n v="100"/>
    <n v="793.6"/>
    <x v="4"/>
    <x v="1"/>
    <x v="0"/>
    <n v="4"/>
    <n v="4"/>
  </r>
  <r>
    <x v="483"/>
    <s v="TNCUST0205"/>
    <x v="264"/>
    <s v="Hosur"/>
    <x v="9"/>
    <s v="Other"/>
    <n v="19"/>
    <s v="36-45"/>
    <x v="2"/>
    <x v="2"/>
    <n v="2"/>
    <n v="1353"/>
    <n v="25"/>
    <n v="0.25"/>
    <n v="676.5"/>
    <n v="2029.5"/>
    <n v="142"/>
    <n v="2171.5"/>
    <x v="1"/>
    <x v="1"/>
    <x v="0"/>
    <n v="7"/>
    <n v="4.5"/>
  </r>
  <r>
    <x v="484"/>
    <s v="TNCUST0032"/>
    <x v="265"/>
    <s v="Coimbatore"/>
    <x v="2"/>
    <s v="Male"/>
    <n v="46"/>
    <s v="18-25"/>
    <x v="2"/>
    <x v="22"/>
    <n v="3"/>
    <n v="1049"/>
    <n v="20"/>
    <n v="0.2"/>
    <n v="629.4"/>
    <n v="2517.6"/>
    <n v="215"/>
    <n v="2732.6"/>
    <x v="0"/>
    <x v="2"/>
    <x v="0"/>
    <n v="6"/>
    <n v="4.5"/>
  </r>
  <r>
    <x v="485"/>
    <s v="TNCUST0218"/>
    <x v="4"/>
    <s v="Tirunelveli"/>
    <x v="6"/>
    <s v="Female"/>
    <n v="21"/>
    <s v="46-55"/>
    <x v="1"/>
    <x v="24"/>
    <n v="2"/>
    <n v="5529"/>
    <n v="15"/>
    <n v="0.15"/>
    <n v="1658.7"/>
    <n v="9399.2999999999993"/>
    <n v="193"/>
    <n v="9592.2999999999993"/>
    <x v="0"/>
    <x v="0"/>
    <x v="0"/>
    <n v="5"/>
    <n v="4"/>
  </r>
  <r>
    <x v="486"/>
    <s v="TNCUST0133"/>
    <x v="266"/>
    <s v="Nagercoil"/>
    <x v="13"/>
    <s v="Female"/>
    <n v="19"/>
    <s v="56+"/>
    <x v="2"/>
    <x v="22"/>
    <n v="5"/>
    <n v="1981"/>
    <n v="20"/>
    <n v="0.2"/>
    <n v="1981"/>
    <n v="7924"/>
    <n v="106"/>
    <n v="8030"/>
    <x v="2"/>
    <x v="1"/>
    <x v="0"/>
    <n v="6"/>
    <n v="4"/>
  </r>
  <r>
    <x v="487"/>
    <s v="TNCUST0205"/>
    <x v="267"/>
    <s v="Coimbatore"/>
    <x v="2"/>
    <s v="Male"/>
    <n v="33"/>
    <s v="18-25"/>
    <x v="0"/>
    <x v="8"/>
    <n v="1"/>
    <n v="26177"/>
    <n v="15"/>
    <n v="0.15"/>
    <n v="3926.55"/>
    <n v="22250.45"/>
    <n v="178"/>
    <n v="22428.45"/>
    <x v="2"/>
    <x v="2"/>
    <x v="0"/>
    <n v="2"/>
    <n v="3.5"/>
  </r>
  <r>
    <x v="488"/>
    <s v="TNCUST0169"/>
    <x v="140"/>
    <s v="Thanjavur"/>
    <x v="4"/>
    <s v="Other"/>
    <n v="51"/>
    <s v="26-35"/>
    <x v="2"/>
    <x v="9"/>
    <n v="3"/>
    <n v="676"/>
    <n v="10"/>
    <n v="0.1"/>
    <n v="202.8"/>
    <n v="1825.2"/>
    <n v="94"/>
    <n v="1919.2"/>
    <x v="0"/>
    <x v="1"/>
    <x v="0"/>
    <n v="1"/>
    <n v="4.5"/>
  </r>
  <r>
    <x v="489"/>
    <s v="TNCUST0178"/>
    <x v="268"/>
    <s v="Thoothukudi"/>
    <x v="12"/>
    <s v="Female"/>
    <n v="47"/>
    <s v="56+"/>
    <x v="3"/>
    <x v="13"/>
    <n v="4"/>
    <n v="3366"/>
    <n v="10"/>
    <n v="0.1"/>
    <n v="1346.4"/>
    <n v="12117.6"/>
    <n v="141"/>
    <n v="12258.6"/>
    <x v="3"/>
    <x v="2"/>
    <x v="0"/>
    <n v="6"/>
    <n v="4.5"/>
  </r>
  <r>
    <x v="490"/>
    <s v="TNCUST0055"/>
    <x v="44"/>
    <s v="Thanjavur"/>
    <x v="4"/>
    <s v="Male"/>
    <n v="57"/>
    <s v="46-55"/>
    <x v="5"/>
    <x v="21"/>
    <n v="3"/>
    <n v="7743"/>
    <n v="0"/>
    <n v="0"/>
    <n v="0"/>
    <n v="23229"/>
    <n v="197"/>
    <n v="23426"/>
    <x v="4"/>
    <x v="2"/>
    <x v="1"/>
    <n v="4"/>
    <m/>
  </r>
  <r>
    <x v="491"/>
    <s v="TNCUST0162"/>
    <x v="203"/>
    <s v="Nagercoil"/>
    <x v="13"/>
    <s v="Other"/>
    <n v="46"/>
    <s v="36-45"/>
    <x v="1"/>
    <x v="11"/>
    <n v="2"/>
    <n v="1004"/>
    <n v="10"/>
    <n v="0.1"/>
    <n v="200.8"/>
    <n v="1807.2"/>
    <n v="49"/>
    <n v="1856.2"/>
    <x v="0"/>
    <x v="1"/>
    <x v="0"/>
    <n v="3"/>
    <n v="3.5"/>
  </r>
  <r>
    <x v="492"/>
    <s v="TNCUST0006"/>
    <x v="149"/>
    <s v="Tiruchirappalli"/>
    <x v="1"/>
    <s v="Other"/>
    <n v="34"/>
    <s v="26-35"/>
    <x v="4"/>
    <x v="12"/>
    <n v="2"/>
    <n v="2546"/>
    <n v="5"/>
    <n v="0.05"/>
    <n v="254.6"/>
    <n v="4837.3999999999996"/>
    <n v="25"/>
    <n v="4862.3999999999996"/>
    <x v="5"/>
    <x v="0"/>
    <x v="0"/>
    <n v="7"/>
    <n v="3"/>
  </r>
  <r>
    <x v="493"/>
    <s v="TNCUST0037"/>
    <x v="22"/>
    <s v="Nagercoil"/>
    <x v="13"/>
    <s v="Male"/>
    <n v="22"/>
    <s v="26-35"/>
    <x v="0"/>
    <x v="25"/>
    <n v="2"/>
    <n v="40786"/>
    <n v="25"/>
    <n v="0.25"/>
    <n v="20393"/>
    <n v="61179"/>
    <n v="154"/>
    <n v="61333"/>
    <x v="2"/>
    <x v="0"/>
    <x v="0"/>
    <n v="4"/>
    <n v="3"/>
  </r>
  <r>
    <x v="494"/>
    <s v="TNCUST0064"/>
    <x v="209"/>
    <s v="Erode"/>
    <x v="8"/>
    <s v="Male"/>
    <n v="27"/>
    <s v="36-45"/>
    <x v="1"/>
    <x v="19"/>
    <n v="3"/>
    <n v="5446"/>
    <n v="20"/>
    <n v="0.2"/>
    <n v="3267.6"/>
    <n v="13070.4"/>
    <n v="157"/>
    <n v="13227.4"/>
    <x v="2"/>
    <x v="0"/>
    <x v="0"/>
    <n v="7"/>
    <n v="4"/>
  </r>
  <r>
    <x v="495"/>
    <s v="TNCUST0046"/>
    <x v="119"/>
    <s v="Thanjavur"/>
    <x v="4"/>
    <s v="Female"/>
    <n v="47"/>
    <s v="36-45"/>
    <x v="2"/>
    <x v="22"/>
    <n v="1"/>
    <n v="765"/>
    <n v="25"/>
    <n v="0.25"/>
    <n v="191.25"/>
    <n v="573.75"/>
    <n v="115"/>
    <n v="688.75"/>
    <x v="3"/>
    <x v="0"/>
    <x v="1"/>
    <n v="5"/>
    <m/>
  </r>
  <r>
    <x v="496"/>
    <s v="TNCUST0056"/>
    <x v="145"/>
    <s v="Vellore"/>
    <x v="5"/>
    <s v="Female"/>
    <n v="33"/>
    <s v="46-55"/>
    <x v="1"/>
    <x v="11"/>
    <n v="4"/>
    <n v="699"/>
    <n v="5"/>
    <n v="0.05"/>
    <n v="139.80000000000001"/>
    <n v="2656.2"/>
    <n v="71"/>
    <n v="2727.2"/>
    <x v="5"/>
    <x v="0"/>
    <x v="0"/>
    <n v="7"/>
    <n v="4"/>
  </r>
  <r>
    <x v="497"/>
    <s v="TNCUST0110"/>
    <x v="269"/>
    <s v="Madurai"/>
    <x v="3"/>
    <s v="Female"/>
    <n v="57"/>
    <s v="46-55"/>
    <x v="5"/>
    <x v="26"/>
    <n v="5"/>
    <n v="1676"/>
    <n v="10"/>
    <n v="0.1"/>
    <n v="838"/>
    <n v="7542"/>
    <n v="30"/>
    <n v="7572"/>
    <x v="5"/>
    <x v="2"/>
    <x v="0"/>
    <n v="5"/>
    <n v="4"/>
  </r>
  <r>
    <x v="498"/>
    <s v="TNCUST0140"/>
    <x v="270"/>
    <s v="Tirunelveli"/>
    <x v="6"/>
    <s v="Other"/>
    <n v="50"/>
    <s v="18-25"/>
    <x v="2"/>
    <x v="14"/>
    <n v="3"/>
    <n v="1889"/>
    <n v="25"/>
    <n v="0.25"/>
    <n v="1416.75"/>
    <n v="4250.25"/>
    <n v="250"/>
    <n v="4500.25"/>
    <x v="1"/>
    <x v="1"/>
    <x v="0"/>
    <n v="3"/>
    <n v="4.5"/>
  </r>
  <r>
    <x v="499"/>
    <s v="TNCUST0181"/>
    <x v="248"/>
    <s v="Coimbatore"/>
    <x v="2"/>
    <s v="Other"/>
    <n v="35"/>
    <s v="26-35"/>
    <x v="0"/>
    <x v="0"/>
    <n v="3"/>
    <n v="5817"/>
    <n v="10"/>
    <n v="0.1"/>
    <n v="1745.1"/>
    <n v="15705.9"/>
    <n v="210"/>
    <n v="15915.9"/>
    <x v="4"/>
    <x v="0"/>
    <x v="0"/>
    <n v="7"/>
    <n v="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12E580-5D6D-4DFA-B22A-965B8F6D1CA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F2" firstHeaderRow="0" firstDataRow="1" firstDataCol="0"/>
  <pivotFields count="25">
    <pivotField dataField="1" showAll="0"/>
    <pivotField showAll="0"/>
    <pivotField numFmtId="14" showAll="0">
      <items count="272">
        <item x="232"/>
        <item x="70"/>
        <item x="197"/>
        <item x="250"/>
        <item x="158"/>
        <item x="12"/>
        <item x="222"/>
        <item x="253"/>
        <item x="0"/>
        <item x="141"/>
        <item x="88"/>
        <item x="179"/>
        <item x="202"/>
        <item x="263"/>
        <item x="184"/>
        <item x="4"/>
        <item x="247"/>
        <item x="191"/>
        <item x="200"/>
        <item x="230"/>
        <item x="92"/>
        <item x="2"/>
        <item x="14"/>
        <item x="270"/>
        <item x="218"/>
        <item x="95"/>
        <item x="196"/>
        <item x="242"/>
        <item x="36"/>
        <item x="265"/>
        <item x="82"/>
        <item x="122"/>
        <item x="75"/>
        <item x="69"/>
        <item x="228"/>
        <item x="225"/>
        <item x="26"/>
        <item x="84"/>
        <item x="139"/>
        <item x="100"/>
        <item x="18"/>
        <item x="165"/>
        <item x="143"/>
        <item x="48"/>
        <item x="56"/>
        <item x="217"/>
        <item x="203"/>
        <item x="227"/>
        <item x="81"/>
        <item x="136"/>
        <item x="67"/>
        <item x="94"/>
        <item x="129"/>
        <item x="109"/>
        <item x="52"/>
        <item x="24"/>
        <item x="63"/>
        <item x="149"/>
        <item x="235"/>
        <item x="220"/>
        <item x="181"/>
        <item x="159"/>
        <item x="255"/>
        <item x="20"/>
        <item x="180"/>
        <item x="125"/>
        <item x="157"/>
        <item x="15"/>
        <item x="130"/>
        <item x="254"/>
        <item x="8"/>
        <item x="105"/>
        <item x="214"/>
        <item x="233"/>
        <item x="9"/>
        <item x="175"/>
        <item x="111"/>
        <item x="113"/>
        <item x="243"/>
        <item x="44"/>
        <item x="37"/>
        <item x="61"/>
        <item x="150"/>
        <item x="41"/>
        <item x="86"/>
        <item x="226"/>
        <item x="208"/>
        <item x="27"/>
        <item x="177"/>
        <item x="182"/>
        <item x="39"/>
        <item x="73"/>
        <item x="194"/>
        <item x="35"/>
        <item x="5"/>
        <item x="42"/>
        <item x="133"/>
        <item x="161"/>
        <item x="147"/>
        <item x="17"/>
        <item x="104"/>
        <item x="146"/>
        <item x="80"/>
        <item x="97"/>
        <item x="43"/>
        <item x="178"/>
        <item x="209"/>
        <item x="90"/>
        <item x="164"/>
        <item x="101"/>
        <item x="38"/>
        <item x="257"/>
        <item x="237"/>
        <item x="7"/>
        <item x="89"/>
        <item x="244"/>
        <item x="163"/>
        <item x="71"/>
        <item x="215"/>
        <item x="50"/>
        <item x="62"/>
        <item x="234"/>
        <item x="31"/>
        <item x="11"/>
        <item x="152"/>
        <item x="21"/>
        <item x="16"/>
        <item x="76"/>
        <item x="29"/>
        <item x="251"/>
        <item x="131"/>
        <item x="115"/>
        <item x="64"/>
        <item x="57"/>
        <item x="140"/>
        <item x="3"/>
        <item x="117"/>
        <item x="239"/>
        <item x="49"/>
        <item x="123"/>
        <item x="6"/>
        <item x="28"/>
        <item x="60"/>
        <item x="195"/>
        <item x="127"/>
        <item x="176"/>
        <item x="156"/>
        <item x="193"/>
        <item x="45"/>
        <item x="207"/>
        <item x="153"/>
        <item x="19"/>
        <item x="151"/>
        <item x="201"/>
        <item x="170"/>
        <item x="126"/>
        <item x="219"/>
        <item x="154"/>
        <item x="264"/>
        <item x="34"/>
        <item x="46"/>
        <item x="83"/>
        <item x="54"/>
        <item x="267"/>
        <item x="107"/>
        <item x="256"/>
        <item x="121"/>
        <item x="145"/>
        <item x="210"/>
        <item x="25"/>
        <item x="99"/>
        <item x="74"/>
        <item x="78"/>
        <item x="269"/>
        <item x="30"/>
        <item x="252"/>
        <item x="106"/>
        <item x="160"/>
        <item x="128"/>
        <item x="124"/>
        <item x="98"/>
        <item x="134"/>
        <item x="65"/>
        <item x="148"/>
        <item x="172"/>
        <item x="212"/>
        <item x="119"/>
        <item x="118"/>
        <item x="260"/>
        <item x="138"/>
        <item x="72"/>
        <item x="188"/>
        <item x="142"/>
        <item x="213"/>
        <item x="224"/>
        <item x="102"/>
        <item x="241"/>
        <item x="205"/>
        <item x="51"/>
        <item x="114"/>
        <item x="258"/>
        <item x="116"/>
        <item x="167"/>
        <item x="190"/>
        <item x="96"/>
        <item x="87"/>
        <item x="13"/>
        <item x="58"/>
        <item x="192"/>
        <item x="59"/>
        <item x="189"/>
        <item x="238"/>
        <item x="206"/>
        <item x="231"/>
        <item x="211"/>
        <item x="173"/>
        <item x="33"/>
        <item x="10"/>
        <item x="77"/>
        <item x="245"/>
        <item x="183"/>
        <item x="187"/>
        <item x="223"/>
        <item x="221"/>
        <item x="40"/>
        <item x="137"/>
        <item x="79"/>
        <item x="85"/>
        <item x="53"/>
        <item x="93"/>
        <item x="185"/>
        <item x="23"/>
        <item x="199"/>
        <item x="32"/>
        <item x="22"/>
        <item x="246"/>
        <item x="216"/>
        <item x="198"/>
        <item x="262"/>
        <item x="174"/>
        <item x="162"/>
        <item x="168"/>
        <item x="236"/>
        <item x="47"/>
        <item x="135"/>
        <item x="266"/>
        <item x="120"/>
        <item x="55"/>
        <item x="112"/>
        <item x="169"/>
        <item x="68"/>
        <item x="186"/>
        <item x="229"/>
        <item x="110"/>
        <item x="261"/>
        <item x="91"/>
        <item x="103"/>
        <item x="248"/>
        <item x="249"/>
        <item x="144"/>
        <item x="240"/>
        <item x="166"/>
        <item x="268"/>
        <item x="155"/>
        <item x="1"/>
        <item x="171"/>
        <item x="66"/>
        <item x="108"/>
        <item x="259"/>
        <item x="132"/>
        <item x="204"/>
        <item t="default"/>
      </items>
    </pivotField>
    <pivotField showAll="0"/>
    <pivotField showAll="0">
      <items count="16">
        <item x="14"/>
        <item x="2"/>
        <item x="0"/>
        <item x="8"/>
        <item x="7"/>
        <item x="13"/>
        <item x="10"/>
        <item x="9"/>
        <item x="3"/>
        <item x="11"/>
        <item x="4"/>
        <item x="12"/>
        <item x="1"/>
        <item x="6"/>
        <item x="5"/>
        <item t="default"/>
      </items>
    </pivotField>
    <pivotField showAll="0"/>
    <pivotField showAll="0"/>
    <pivotField showAll="0"/>
    <pivotField showAll="0">
      <items count="7">
        <item x="3"/>
        <item x="0"/>
        <item x="4"/>
        <item x="2"/>
        <item x="5"/>
        <item x="1"/>
        <item t="default"/>
      </items>
    </pivotField>
    <pivotField showAll="0"/>
    <pivotField dataField="1" numFmtId="1" showAll="0"/>
    <pivotField showAll="0"/>
    <pivotField showAll="0"/>
    <pivotField showAll="0"/>
    <pivotField showAll="0"/>
    <pivotField showAll="0"/>
    <pivotField showAll="0"/>
    <pivotField dataField="1" showAll="0"/>
    <pivotField showAll="0">
      <items count="7">
        <item x="5"/>
        <item x="2"/>
        <item x="1"/>
        <item x="3"/>
        <item x="0"/>
        <item x="4"/>
        <item t="default"/>
      </items>
    </pivotField>
    <pivotField showAll="0">
      <items count="4">
        <item x="0"/>
        <item x="2"/>
        <item x="1"/>
        <item t="default"/>
      </items>
    </pivotField>
    <pivotField showAll="0">
      <items count="6">
        <item x="4"/>
        <item x="0"/>
        <item x="2"/>
        <item x="3"/>
        <item x="1"/>
        <item t="default"/>
      </items>
    </pivotField>
    <pivotField dataField="1"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Total Sales" fld="17" baseField="0" baseItem="1"/>
    <dataField name="Total Orders" fld="0" subtotal="count" baseField="0" baseItem="1"/>
    <dataField name="Total Quantity" fld="10" baseField="0" baseItem="2" numFmtId="1"/>
    <dataField name="Average of Customer_Rating" fld="22" subtotal="average" baseField="0" baseItem="1"/>
    <dataField name="Average of Delivery_Days" fld="21"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5B93AD-F96F-4959-B19B-9A36DC2DB9C8}"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B1:C13" firstHeaderRow="1" firstDataRow="1" firstDataCol="1"/>
  <pivotFields count="25">
    <pivotField showAll="0"/>
    <pivotField showAll="0"/>
    <pivotField numFmtId="14" showAll="0">
      <items count="272">
        <item x="232"/>
        <item x="70"/>
        <item x="197"/>
        <item x="250"/>
        <item x="158"/>
        <item x="12"/>
        <item x="222"/>
        <item x="253"/>
        <item x="0"/>
        <item x="141"/>
        <item x="88"/>
        <item x="179"/>
        <item x="202"/>
        <item x="263"/>
        <item x="184"/>
        <item x="4"/>
        <item x="247"/>
        <item x="191"/>
        <item x="200"/>
        <item x="230"/>
        <item x="92"/>
        <item x="2"/>
        <item x="14"/>
        <item x="270"/>
        <item x="218"/>
        <item x="95"/>
        <item x="196"/>
        <item x="242"/>
        <item x="36"/>
        <item x="265"/>
        <item x="82"/>
        <item x="122"/>
        <item x="75"/>
        <item x="69"/>
        <item x="228"/>
        <item x="225"/>
        <item x="26"/>
        <item x="84"/>
        <item x="139"/>
        <item x="100"/>
        <item x="18"/>
        <item x="165"/>
        <item x="143"/>
        <item x="48"/>
        <item x="56"/>
        <item x="217"/>
        <item x="203"/>
        <item x="227"/>
        <item x="81"/>
        <item x="136"/>
        <item x="67"/>
        <item x="94"/>
        <item x="129"/>
        <item x="109"/>
        <item x="52"/>
        <item x="24"/>
        <item x="63"/>
        <item x="149"/>
        <item x="235"/>
        <item x="220"/>
        <item x="181"/>
        <item x="159"/>
        <item x="255"/>
        <item x="20"/>
        <item x="180"/>
        <item x="125"/>
        <item x="157"/>
        <item x="15"/>
        <item x="130"/>
        <item x="254"/>
        <item x="8"/>
        <item x="105"/>
        <item x="214"/>
        <item x="233"/>
        <item x="9"/>
        <item x="175"/>
        <item x="111"/>
        <item x="113"/>
        <item x="243"/>
        <item x="44"/>
        <item x="37"/>
        <item x="61"/>
        <item x="150"/>
        <item x="41"/>
        <item x="86"/>
        <item x="226"/>
        <item x="208"/>
        <item x="27"/>
        <item x="177"/>
        <item x="182"/>
        <item x="39"/>
        <item x="73"/>
        <item x="194"/>
        <item x="35"/>
        <item x="5"/>
        <item x="42"/>
        <item x="133"/>
        <item x="161"/>
        <item x="147"/>
        <item x="17"/>
        <item x="104"/>
        <item x="146"/>
        <item x="80"/>
        <item x="97"/>
        <item x="43"/>
        <item x="178"/>
        <item x="209"/>
        <item x="90"/>
        <item x="164"/>
        <item x="101"/>
        <item x="38"/>
        <item x="257"/>
        <item x="237"/>
        <item x="7"/>
        <item x="89"/>
        <item x="244"/>
        <item x="163"/>
        <item x="71"/>
        <item x="215"/>
        <item x="50"/>
        <item x="62"/>
        <item x="234"/>
        <item x="31"/>
        <item x="11"/>
        <item x="152"/>
        <item x="21"/>
        <item x="16"/>
        <item x="76"/>
        <item x="29"/>
        <item x="251"/>
        <item x="131"/>
        <item x="115"/>
        <item x="64"/>
        <item x="57"/>
        <item x="140"/>
        <item x="3"/>
        <item x="117"/>
        <item x="239"/>
        <item x="49"/>
        <item x="123"/>
        <item x="6"/>
        <item x="28"/>
        <item x="60"/>
        <item x="195"/>
        <item x="127"/>
        <item x="176"/>
        <item x="156"/>
        <item x="193"/>
        <item x="45"/>
        <item x="207"/>
        <item x="153"/>
        <item x="19"/>
        <item x="151"/>
        <item x="201"/>
        <item x="170"/>
        <item x="126"/>
        <item x="219"/>
        <item x="154"/>
        <item x="264"/>
        <item x="34"/>
        <item x="46"/>
        <item x="83"/>
        <item x="54"/>
        <item x="267"/>
        <item x="107"/>
        <item x="256"/>
        <item x="121"/>
        <item x="145"/>
        <item x="210"/>
        <item x="25"/>
        <item x="99"/>
        <item x="74"/>
        <item x="78"/>
        <item x="269"/>
        <item x="30"/>
        <item x="252"/>
        <item x="106"/>
        <item x="160"/>
        <item x="128"/>
        <item x="124"/>
        <item x="98"/>
        <item x="134"/>
        <item x="65"/>
        <item x="148"/>
        <item x="172"/>
        <item x="212"/>
        <item x="119"/>
        <item x="118"/>
        <item x="260"/>
        <item x="138"/>
        <item x="72"/>
        <item x="188"/>
        <item x="142"/>
        <item x="213"/>
        <item x="224"/>
        <item x="102"/>
        <item x="241"/>
        <item x="205"/>
        <item x="51"/>
        <item x="114"/>
        <item x="258"/>
        <item x="116"/>
        <item x="167"/>
        <item x="190"/>
        <item x="96"/>
        <item x="87"/>
        <item x="13"/>
        <item x="58"/>
        <item x="192"/>
        <item x="59"/>
        <item x="189"/>
        <item x="238"/>
        <item x="206"/>
        <item x="231"/>
        <item x="211"/>
        <item x="173"/>
        <item x="33"/>
        <item x="10"/>
        <item x="77"/>
        <item x="245"/>
        <item x="183"/>
        <item x="187"/>
        <item x="223"/>
        <item x="221"/>
        <item x="40"/>
        <item x="137"/>
        <item x="79"/>
        <item x="85"/>
        <item x="53"/>
        <item x="93"/>
        <item x="185"/>
        <item x="23"/>
        <item x="199"/>
        <item x="32"/>
        <item x="22"/>
        <item x="246"/>
        <item x="216"/>
        <item x="198"/>
        <item x="262"/>
        <item x="174"/>
        <item x="162"/>
        <item x="168"/>
        <item x="236"/>
        <item x="47"/>
        <item x="135"/>
        <item x="266"/>
        <item x="120"/>
        <item x="55"/>
        <item x="112"/>
        <item x="169"/>
        <item x="68"/>
        <item x="186"/>
        <item x="229"/>
        <item x="110"/>
        <item x="261"/>
        <item x="91"/>
        <item x="103"/>
        <item x="248"/>
        <item x="249"/>
        <item x="144"/>
        <item x="240"/>
        <item x="166"/>
        <item x="268"/>
        <item x="155"/>
        <item x="1"/>
        <item x="171"/>
        <item x="66"/>
        <item x="108"/>
        <item x="259"/>
        <item x="132"/>
        <item x="204"/>
        <item t="default"/>
      </items>
    </pivotField>
    <pivotField showAll="0"/>
    <pivotField showAll="0">
      <items count="16">
        <item x="14"/>
        <item x="2"/>
        <item x="0"/>
        <item x="8"/>
        <item x="7"/>
        <item x="13"/>
        <item x="10"/>
        <item x="9"/>
        <item x="3"/>
        <item x="11"/>
        <item x="4"/>
        <item x="12"/>
        <item x="1"/>
        <item x="6"/>
        <item x="5"/>
        <item t="default"/>
      </items>
    </pivotField>
    <pivotField showAll="0"/>
    <pivotField showAll="0"/>
    <pivotField showAll="0"/>
    <pivotField showAll="0">
      <items count="7">
        <item x="3"/>
        <item x="0"/>
        <item x="4"/>
        <item x="2"/>
        <item x="5"/>
        <item x="1"/>
        <item t="default"/>
      </items>
    </pivotField>
    <pivotField showAll="0"/>
    <pivotField numFmtId="1" showAll="0"/>
    <pivotField showAll="0"/>
    <pivotField showAll="0"/>
    <pivotField showAll="0"/>
    <pivotField showAll="0"/>
    <pivotField showAll="0"/>
    <pivotField showAll="0"/>
    <pivotField dataField="1" showAll="0"/>
    <pivotField showAll="0">
      <items count="7">
        <item x="5"/>
        <item x="2"/>
        <item x="1"/>
        <item x="3"/>
        <item x="0"/>
        <item x="4"/>
        <item t="default"/>
      </items>
    </pivotField>
    <pivotField showAll="0">
      <items count="4">
        <item x="0"/>
        <item x="2"/>
        <item x="1"/>
        <item t="default"/>
      </items>
    </pivotField>
    <pivotField showAll="0">
      <items count="6">
        <item x="4"/>
        <item x="0"/>
        <item x="2"/>
        <item x="3"/>
        <item x="1"/>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sd="0" x="1"/>
        <item sd="0" x="2"/>
        <item sd="0" x="3"/>
        <item sd="0" x="4"/>
        <item sd="0" x="5"/>
        <item sd="0" x="6"/>
        <item sd="0" x="7"/>
        <item sd="0" x="8"/>
        <item sd="0" x="9"/>
        <item sd="0" x="10"/>
        <item sd="0" x="11"/>
        <item sd="0" x="12"/>
        <item h="1" sd="0" x="13"/>
        <item t="default"/>
      </items>
    </pivotField>
  </pivotFields>
  <rowFields count="1">
    <field x="24"/>
  </rowFields>
  <rowItems count="12">
    <i>
      <x v="1"/>
    </i>
    <i>
      <x v="2"/>
    </i>
    <i>
      <x v="3"/>
    </i>
    <i>
      <x v="4"/>
    </i>
    <i>
      <x v="5"/>
    </i>
    <i>
      <x v="6"/>
    </i>
    <i>
      <x v="7"/>
    </i>
    <i>
      <x v="8"/>
    </i>
    <i>
      <x v="9"/>
    </i>
    <i>
      <x v="10"/>
    </i>
    <i>
      <x v="11"/>
    </i>
    <i>
      <x v="12"/>
    </i>
  </rowItems>
  <colItems count="1">
    <i/>
  </colItems>
  <dataFields count="1">
    <dataField name="Sum of Total_Amount_INR" fld="17"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B9402A-1AA7-46AB-ACC6-A474C0D4C8ED}"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B2:C17" firstHeaderRow="1" firstDataRow="1" firstDataCol="1"/>
  <pivotFields count="25">
    <pivotField showAll="0"/>
    <pivotField showAll="0"/>
    <pivotField numFmtId="14" showAll="0">
      <items count="272">
        <item x="232"/>
        <item x="70"/>
        <item x="197"/>
        <item x="250"/>
        <item x="158"/>
        <item x="12"/>
        <item x="222"/>
        <item x="253"/>
        <item x="0"/>
        <item x="141"/>
        <item x="88"/>
        <item x="179"/>
        <item x="202"/>
        <item x="263"/>
        <item x="184"/>
        <item x="4"/>
        <item x="247"/>
        <item x="191"/>
        <item x="200"/>
        <item x="230"/>
        <item x="92"/>
        <item x="2"/>
        <item x="14"/>
        <item x="270"/>
        <item x="218"/>
        <item x="95"/>
        <item x="196"/>
        <item x="242"/>
        <item x="36"/>
        <item x="265"/>
        <item x="82"/>
        <item x="122"/>
        <item x="75"/>
        <item x="69"/>
        <item x="228"/>
        <item x="225"/>
        <item x="26"/>
        <item x="84"/>
        <item x="139"/>
        <item x="100"/>
        <item x="18"/>
        <item x="165"/>
        <item x="143"/>
        <item x="48"/>
        <item x="56"/>
        <item x="217"/>
        <item x="203"/>
        <item x="227"/>
        <item x="81"/>
        <item x="136"/>
        <item x="67"/>
        <item x="94"/>
        <item x="129"/>
        <item x="109"/>
        <item x="52"/>
        <item x="24"/>
        <item x="63"/>
        <item x="149"/>
        <item x="235"/>
        <item x="220"/>
        <item x="181"/>
        <item x="159"/>
        <item x="255"/>
        <item x="20"/>
        <item x="180"/>
        <item x="125"/>
        <item x="157"/>
        <item x="15"/>
        <item x="130"/>
        <item x="254"/>
        <item x="8"/>
        <item x="105"/>
        <item x="214"/>
        <item x="233"/>
        <item x="9"/>
        <item x="175"/>
        <item x="111"/>
        <item x="113"/>
        <item x="243"/>
        <item x="44"/>
        <item x="37"/>
        <item x="61"/>
        <item x="150"/>
        <item x="41"/>
        <item x="86"/>
        <item x="226"/>
        <item x="208"/>
        <item x="27"/>
        <item x="177"/>
        <item x="182"/>
        <item x="39"/>
        <item x="73"/>
        <item x="194"/>
        <item x="35"/>
        <item x="5"/>
        <item x="42"/>
        <item x="133"/>
        <item x="161"/>
        <item x="147"/>
        <item x="17"/>
        <item x="104"/>
        <item x="146"/>
        <item x="80"/>
        <item x="97"/>
        <item x="43"/>
        <item x="178"/>
        <item x="209"/>
        <item x="90"/>
        <item x="164"/>
        <item x="101"/>
        <item x="38"/>
        <item x="257"/>
        <item x="237"/>
        <item x="7"/>
        <item x="89"/>
        <item x="244"/>
        <item x="163"/>
        <item x="71"/>
        <item x="215"/>
        <item x="50"/>
        <item x="62"/>
        <item x="234"/>
        <item x="31"/>
        <item x="11"/>
        <item x="152"/>
        <item x="21"/>
        <item x="16"/>
        <item x="76"/>
        <item x="29"/>
        <item x="251"/>
        <item x="131"/>
        <item x="115"/>
        <item x="64"/>
        <item x="57"/>
        <item x="140"/>
        <item x="3"/>
        <item x="117"/>
        <item x="239"/>
        <item x="49"/>
        <item x="123"/>
        <item x="6"/>
        <item x="28"/>
        <item x="60"/>
        <item x="195"/>
        <item x="127"/>
        <item x="176"/>
        <item x="156"/>
        <item x="193"/>
        <item x="45"/>
        <item x="207"/>
        <item x="153"/>
        <item x="19"/>
        <item x="151"/>
        <item x="201"/>
        <item x="170"/>
        <item x="126"/>
        <item x="219"/>
        <item x="154"/>
        <item x="264"/>
        <item x="34"/>
        <item x="46"/>
        <item x="83"/>
        <item x="54"/>
        <item x="267"/>
        <item x="107"/>
        <item x="256"/>
        <item x="121"/>
        <item x="145"/>
        <item x="210"/>
        <item x="25"/>
        <item x="99"/>
        <item x="74"/>
        <item x="78"/>
        <item x="269"/>
        <item x="30"/>
        <item x="252"/>
        <item x="106"/>
        <item x="160"/>
        <item x="128"/>
        <item x="124"/>
        <item x="98"/>
        <item x="134"/>
        <item x="65"/>
        <item x="148"/>
        <item x="172"/>
        <item x="212"/>
        <item x="119"/>
        <item x="118"/>
        <item x="260"/>
        <item x="138"/>
        <item x="72"/>
        <item x="188"/>
        <item x="142"/>
        <item x="213"/>
        <item x="224"/>
        <item x="102"/>
        <item x="241"/>
        <item x="205"/>
        <item x="51"/>
        <item x="114"/>
        <item x="258"/>
        <item x="116"/>
        <item x="167"/>
        <item x="190"/>
        <item x="96"/>
        <item x="87"/>
        <item x="13"/>
        <item x="58"/>
        <item x="192"/>
        <item x="59"/>
        <item x="189"/>
        <item x="238"/>
        <item x="206"/>
        <item x="231"/>
        <item x="211"/>
        <item x="173"/>
        <item x="33"/>
        <item x="10"/>
        <item x="77"/>
        <item x="245"/>
        <item x="183"/>
        <item x="187"/>
        <item x="223"/>
        <item x="221"/>
        <item x="40"/>
        <item x="137"/>
        <item x="79"/>
        <item x="85"/>
        <item x="53"/>
        <item x="93"/>
        <item x="185"/>
        <item x="23"/>
        <item x="199"/>
        <item x="32"/>
        <item x="22"/>
        <item x="246"/>
        <item x="216"/>
        <item x="198"/>
        <item x="262"/>
        <item x="174"/>
        <item x="162"/>
        <item x="168"/>
        <item x="236"/>
        <item x="47"/>
        <item x="135"/>
        <item x="266"/>
        <item x="120"/>
        <item x="55"/>
        <item x="112"/>
        <item x="169"/>
        <item x="68"/>
        <item x="186"/>
        <item x="229"/>
        <item x="110"/>
        <item x="261"/>
        <item x="91"/>
        <item x="103"/>
        <item x="248"/>
        <item x="249"/>
        <item x="144"/>
        <item x="240"/>
        <item x="166"/>
        <item x="268"/>
        <item x="155"/>
        <item x="1"/>
        <item x="171"/>
        <item x="66"/>
        <item x="108"/>
        <item x="259"/>
        <item x="132"/>
        <item x="204"/>
        <item t="default"/>
      </items>
    </pivotField>
    <pivotField showAll="0"/>
    <pivotField axis="axisRow" showAll="0" sortType="ascending">
      <items count="16">
        <item x="14"/>
        <item x="2"/>
        <item x="0"/>
        <item x="8"/>
        <item x="7"/>
        <item x="13"/>
        <item x="10"/>
        <item x="9"/>
        <item x="3"/>
        <item x="11"/>
        <item x="4"/>
        <item x="12"/>
        <item x="1"/>
        <item x="6"/>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7">
        <item x="3"/>
        <item x="0"/>
        <item x="4"/>
        <item x="2"/>
        <item x="5"/>
        <item x="1"/>
        <item t="default"/>
      </items>
    </pivotField>
    <pivotField showAll="0"/>
    <pivotField numFmtId="1" showAll="0"/>
    <pivotField showAll="0"/>
    <pivotField showAll="0"/>
    <pivotField showAll="0"/>
    <pivotField showAll="0"/>
    <pivotField showAll="0"/>
    <pivotField showAll="0"/>
    <pivotField dataField="1" showAll="0"/>
    <pivotField showAll="0">
      <items count="7">
        <item x="5"/>
        <item x="2"/>
        <item x="1"/>
        <item x="3"/>
        <item x="0"/>
        <item x="4"/>
        <item t="default"/>
      </items>
    </pivotField>
    <pivotField showAll="0">
      <items count="4">
        <item x="0"/>
        <item x="2"/>
        <item x="1"/>
        <item t="default"/>
      </items>
    </pivotField>
    <pivotField showAll="0">
      <items count="6">
        <item x="4"/>
        <item x="0"/>
        <item x="2"/>
        <item x="3"/>
        <item x="1"/>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15">
    <i>
      <x v="11"/>
    </i>
    <i>
      <x v="10"/>
    </i>
    <i>
      <x v="3"/>
    </i>
    <i>
      <x v="1"/>
    </i>
    <i>
      <x v="6"/>
    </i>
    <i>
      <x v="8"/>
    </i>
    <i>
      <x v="7"/>
    </i>
    <i>
      <x/>
    </i>
    <i>
      <x v="14"/>
    </i>
    <i>
      <x v="2"/>
    </i>
    <i>
      <x v="9"/>
    </i>
    <i>
      <x v="5"/>
    </i>
    <i>
      <x v="13"/>
    </i>
    <i>
      <x v="4"/>
    </i>
    <i>
      <x v="12"/>
    </i>
  </rowItems>
  <colItems count="1">
    <i/>
  </colItems>
  <dataFields count="1">
    <dataField name="Sum of Total_Amount_INR"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6271E0-B97D-4C01-9C80-DC40FC17EE50}"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B2:C8" firstHeaderRow="1" firstDataRow="1" firstDataCol="1"/>
  <pivotFields count="25">
    <pivotField showAll="0"/>
    <pivotField showAll="0"/>
    <pivotField numFmtId="14" showAll="0">
      <items count="272">
        <item x="232"/>
        <item x="70"/>
        <item x="197"/>
        <item x="250"/>
        <item x="158"/>
        <item x="12"/>
        <item x="222"/>
        <item x="253"/>
        <item x="0"/>
        <item x="141"/>
        <item x="88"/>
        <item x="179"/>
        <item x="202"/>
        <item x="263"/>
        <item x="184"/>
        <item x="4"/>
        <item x="247"/>
        <item x="191"/>
        <item x="200"/>
        <item x="230"/>
        <item x="92"/>
        <item x="2"/>
        <item x="14"/>
        <item x="270"/>
        <item x="218"/>
        <item x="95"/>
        <item x="196"/>
        <item x="242"/>
        <item x="36"/>
        <item x="265"/>
        <item x="82"/>
        <item x="122"/>
        <item x="75"/>
        <item x="69"/>
        <item x="228"/>
        <item x="225"/>
        <item x="26"/>
        <item x="84"/>
        <item x="139"/>
        <item x="100"/>
        <item x="18"/>
        <item x="165"/>
        <item x="143"/>
        <item x="48"/>
        <item x="56"/>
        <item x="217"/>
        <item x="203"/>
        <item x="227"/>
        <item x="81"/>
        <item x="136"/>
        <item x="67"/>
        <item x="94"/>
        <item x="129"/>
        <item x="109"/>
        <item x="52"/>
        <item x="24"/>
        <item x="63"/>
        <item x="149"/>
        <item x="235"/>
        <item x="220"/>
        <item x="181"/>
        <item x="159"/>
        <item x="255"/>
        <item x="20"/>
        <item x="180"/>
        <item x="125"/>
        <item x="157"/>
        <item x="15"/>
        <item x="130"/>
        <item x="254"/>
        <item x="8"/>
        <item x="105"/>
        <item x="214"/>
        <item x="233"/>
        <item x="9"/>
        <item x="175"/>
        <item x="111"/>
        <item x="113"/>
        <item x="243"/>
        <item x="44"/>
        <item x="37"/>
        <item x="61"/>
        <item x="150"/>
        <item x="41"/>
        <item x="86"/>
        <item x="226"/>
        <item x="208"/>
        <item x="27"/>
        <item x="177"/>
        <item x="182"/>
        <item x="39"/>
        <item x="73"/>
        <item x="194"/>
        <item x="35"/>
        <item x="5"/>
        <item x="42"/>
        <item x="133"/>
        <item x="161"/>
        <item x="147"/>
        <item x="17"/>
        <item x="104"/>
        <item x="146"/>
        <item x="80"/>
        <item x="97"/>
        <item x="43"/>
        <item x="178"/>
        <item x="209"/>
        <item x="90"/>
        <item x="164"/>
        <item x="101"/>
        <item x="38"/>
        <item x="257"/>
        <item x="237"/>
        <item x="7"/>
        <item x="89"/>
        <item x="244"/>
        <item x="163"/>
        <item x="71"/>
        <item x="215"/>
        <item x="50"/>
        <item x="62"/>
        <item x="234"/>
        <item x="31"/>
        <item x="11"/>
        <item x="152"/>
        <item x="21"/>
        <item x="16"/>
        <item x="76"/>
        <item x="29"/>
        <item x="251"/>
        <item x="131"/>
        <item x="115"/>
        <item x="64"/>
        <item x="57"/>
        <item x="140"/>
        <item x="3"/>
        <item x="117"/>
        <item x="239"/>
        <item x="49"/>
        <item x="123"/>
        <item x="6"/>
        <item x="28"/>
        <item x="60"/>
        <item x="195"/>
        <item x="127"/>
        <item x="176"/>
        <item x="156"/>
        <item x="193"/>
        <item x="45"/>
        <item x="207"/>
        <item x="153"/>
        <item x="19"/>
        <item x="151"/>
        <item x="201"/>
        <item x="170"/>
        <item x="126"/>
        <item x="219"/>
        <item x="154"/>
        <item x="264"/>
        <item x="34"/>
        <item x="46"/>
        <item x="83"/>
        <item x="54"/>
        <item x="267"/>
        <item x="107"/>
        <item x="256"/>
        <item x="121"/>
        <item x="145"/>
        <item x="210"/>
        <item x="25"/>
        <item x="99"/>
        <item x="74"/>
        <item x="78"/>
        <item x="269"/>
        <item x="30"/>
        <item x="252"/>
        <item x="106"/>
        <item x="160"/>
        <item x="128"/>
        <item x="124"/>
        <item x="98"/>
        <item x="134"/>
        <item x="65"/>
        <item x="148"/>
        <item x="172"/>
        <item x="212"/>
        <item x="119"/>
        <item x="118"/>
        <item x="260"/>
        <item x="138"/>
        <item x="72"/>
        <item x="188"/>
        <item x="142"/>
        <item x="213"/>
        <item x="224"/>
        <item x="102"/>
        <item x="241"/>
        <item x="205"/>
        <item x="51"/>
        <item x="114"/>
        <item x="258"/>
        <item x="116"/>
        <item x="167"/>
        <item x="190"/>
        <item x="96"/>
        <item x="87"/>
        <item x="13"/>
        <item x="58"/>
        <item x="192"/>
        <item x="59"/>
        <item x="189"/>
        <item x="238"/>
        <item x="206"/>
        <item x="231"/>
        <item x="211"/>
        <item x="173"/>
        <item x="33"/>
        <item x="10"/>
        <item x="77"/>
        <item x="245"/>
        <item x="183"/>
        <item x="187"/>
        <item x="223"/>
        <item x="221"/>
        <item x="40"/>
        <item x="137"/>
        <item x="79"/>
        <item x="85"/>
        <item x="53"/>
        <item x="93"/>
        <item x="185"/>
        <item x="23"/>
        <item x="199"/>
        <item x="32"/>
        <item x="22"/>
        <item x="246"/>
        <item x="216"/>
        <item x="198"/>
        <item x="262"/>
        <item x="174"/>
        <item x="162"/>
        <item x="168"/>
        <item x="236"/>
        <item x="47"/>
        <item x="135"/>
        <item x="266"/>
        <item x="120"/>
        <item x="55"/>
        <item x="112"/>
        <item x="169"/>
        <item x="68"/>
        <item x="186"/>
        <item x="229"/>
        <item x="110"/>
        <item x="261"/>
        <item x="91"/>
        <item x="103"/>
        <item x="248"/>
        <item x="249"/>
        <item x="144"/>
        <item x="240"/>
        <item x="166"/>
        <item x="268"/>
        <item x="155"/>
        <item x="1"/>
        <item x="171"/>
        <item x="66"/>
        <item x="108"/>
        <item x="259"/>
        <item x="132"/>
        <item x="204"/>
        <item t="default"/>
      </items>
    </pivotField>
    <pivotField showAll="0"/>
    <pivotField showAll="0">
      <items count="16">
        <item x="14"/>
        <item x="2"/>
        <item x="0"/>
        <item x="8"/>
        <item x="7"/>
        <item x="13"/>
        <item x="10"/>
        <item x="9"/>
        <item x="3"/>
        <item x="11"/>
        <item x="4"/>
        <item x="12"/>
        <item x="1"/>
        <item x="6"/>
        <item x="5"/>
        <item t="default"/>
      </items>
    </pivotField>
    <pivotField showAll="0"/>
    <pivotField showAll="0"/>
    <pivotField showAll="0"/>
    <pivotField axis="axisRow" showAll="0">
      <items count="7">
        <item x="3"/>
        <item x="0"/>
        <item x="4"/>
        <item x="2"/>
        <item x="5"/>
        <item x="1"/>
        <item t="default"/>
      </items>
    </pivotField>
    <pivotField showAll="0"/>
    <pivotField numFmtId="1" showAll="0"/>
    <pivotField showAll="0"/>
    <pivotField showAll="0"/>
    <pivotField showAll="0"/>
    <pivotField showAll="0"/>
    <pivotField showAll="0"/>
    <pivotField showAll="0"/>
    <pivotField dataField="1" showAll="0"/>
    <pivotField showAll="0">
      <items count="7">
        <item x="5"/>
        <item x="2"/>
        <item x="1"/>
        <item x="3"/>
        <item x="0"/>
        <item x="4"/>
        <item t="default"/>
      </items>
    </pivotField>
    <pivotField showAll="0">
      <items count="4">
        <item x="0"/>
        <item x="2"/>
        <item x="1"/>
        <item t="default"/>
      </items>
    </pivotField>
    <pivotField showAll="0">
      <items count="6">
        <item x="4"/>
        <item x="0"/>
        <item x="2"/>
        <item x="3"/>
        <item x="1"/>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6">
    <i>
      <x/>
    </i>
    <i>
      <x v="1"/>
    </i>
    <i>
      <x v="2"/>
    </i>
    <i>
      <x v="3"/>
    </i>
    <i>
      <x v="4"/>
    </i>
    <i>
      <x v="5"/>
    </i>
  </rowItems>
  <colItems count="1">
    <i/>
  </colItems>
  <dataFields count="1">
    <dataField name="Sum of Total_Amount_INR"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561E436-667D-4DD0-9B1C-EB4D2F0EE93F}" name="PivotTable1"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showHeaders="0" outline="1" outlineData="1" multipleFieldFilters="0" chartFormat="4">
  <location ref="B2:C7" firstHeaderRow="1" firstDataRow="1" firstDataCol="1"/>
  <pivotFields count="25">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numFmtId="14" showAll="0">
      <items count="272">
        <item x="232"/>
        <item x="70"/>
        <item x="197"/>
        <item x="250"/>
        <item x="158"/>
        <item x="12"/>
        <item x="222"/>
        <item x="253"/>
        <item x="0"/>
        <item x="141"/>
        <item x="88"/>
        <item x="179"/>
        <item x="202"/>
        <item x="263"/>
        <item x="184"/>
        <item x="4"/>
        <item x="247"/>
        <item x="191"/>
        <item x="200"/>
        <item x="230"/>
        <item x="92"/>
        <item x="2"/>
        <item x="14"/>
        <item x="270"/>
        <item x="218"/>
        <item x="95"/>
        <item x="196"/>
        <item x="242"/>
        <item x="36"/>
        <item x="265"/>
        <item x="82"/>
        <item x="122"/>
        <item x="75"/>
        <item x="69"/>
        <item x="228"/>
        <item x="225"/>
        <item x="26"/>
        <item x="84"/>
        <item x="139"/>
        <item x="100"/>
        <item x="18"/>
        <item x="165"/>
        <item x="143"/>
        <item x="48"/>
        <item x="56"/>
        <item x="217"/>
        <item x="203"/>
        <item x="227"/>
        <item x="81"/>
        <item x="136"/>
        <item x="67"/>
        <item x="94"/>
        <item x="129"/>
        <item x="109"/>
        <item x="52"/>
        <item x="24"/>
        <item x="63"/>
        <item x="149"/>
        <item x="235"/>
        <item x="220"/>
        <item x="181"/>
        <item x="159"/>
        <item x="255"/>
        <item x="20"/>
        <item x="180"/>
        <item x="125"/>
        <item x="157"/>
        <item x="15"/>
        <item x="130"/>
        <item x="254"/>
        <item x="8"/>
        <item x="105"/>
        <item x="214"/>
        <item x="233"/>
        <item x="9"/>
        <item x="175"/>
        <item x="111"/>
        <item x="113"/>
        <item x="243"/>
        <item x="44"/>
        <item x="37"/>
        <item x="61"/>
        <item x="150"/>
        <item x="41"/>
        <item x="86"/>
        <item x="226"/>
        <item x="208"/>
        <item x="27"/>
        <item x="177"/>
        <item x="182"/>
        <item x="39"/>
        <item x="73"/>
        <item x="194"/>
        <item x="35"/>
        <item x="5"/>
        <item x="42"/>
        <item x="133"/>
        <item x="161"/>
        <item x="147"/>
        <item x="17"/>
        <item x="104"/>
        <item x="146"/>
        <item x="80"/>
        <item x="97"/>
        <item x="43"/>
        <item x="178"/>
        <item x="209"/>
        <item x="90"/>
        <item x="164"/>
        <item x="101"/>
        <item x="38"/>
        <item x="257"/>
        <item x="237"/>
        <item x="7"/>
        <item x="89"/>
        <item x="244"/>
        <item x="163"/>
        <item x="71"/>
        <item x="215"/>
        <item x="50"/>
        <item x="62"/>
        <item x="234"/>
        <item x="31"/>
        <item x="11"/>
        <item x="152"/>
        <item x="21"/>
        <item x="16"/>
        <item x="76"/>
        <item x="29"/>
        <item x="251"/>
        <item x="131"/>
        <item x="115"/>
        <item x="64"/>
        <item x="57"/>
        <item x="140"/>
        <item x="3"/>
        <item x="117"/>
        <item x="239"/>
        <item x="49"/>
        <item x="123"/>
        <item x="6"/>
        <item x="28"/>
        <item x="60"/>
        <item x="195"/>
        <item x="127"/>
        <item x="176"/>
        <item x="156"/>
        <item x="193"/>
        <item x="45"/>
        <item x="207"/>
        <item x="153"/>
        <item x="19"/>
        <item x="151"/>
        <item x="201"/>
        <item x="170"/>
        <item x="126"/>
        <item x="219"/>
        <item x="154"/>
        <item x="264"/>
        <item x="34"/>
        <item x="46"/>
        <item x="83"/>
        <item x="54"/>
        <item x="267"/>
        <item x="107"/>
        <item x="256"/>
        <item x="121"/>
        <item x="145"/>
        <item x="210"/>
        <item x="25"/>
        <item x="99"/>
        <item x="74"/>
        <item x="78"/>
        <item x="269"/>
        <item x="30"/>
        <item x="252"/>
        <item x="106"/>
        <item x="160"/>
        <item x="128"/>
        <item x="124"/>
        <item x="98"/>
        <item x="134"/>
        <item x="65"/>
        <item x="148"/>
        <item x="172"/>
        <item x="212"/>
        <item x="119"/>
        <item x="118"/>
        <item x="260"/>
        <item x="138"/>
        <item x="72"/>
        <item x="188"/>
        <item x="142"/>
        <item x="213"/>
        <item x="224"/>
        <item x="102"/>
        <item x="241"/>
        <item x="205"/>
        <item x="51"/>
        <item x="114"/>
        <item x="258"/>
        <item x="116"/>
        <item x="167"/>
        <item x="190"/>
        <item x="96"/>
        <item x="87"/>
        <item x="13"/>
        <item x="58"/>
        <item x="192"/>
        <item x="59"/>
        <item x="189"/>
        <item x="238"/>
        <item x="206"/>
        <item x="231"/>
        <item x="211"/>
        <item x="173"/>
        <item x="33"/>
        <item x="10"/>
        <item x="77"/>
        <item x="245"/>
        <item x="183"/>
        <item x="187"/>
        <item x="223"/>
        <item x="221"/>
        <item x="40"/>
        <item x="137"/>
        <item x="79"/>
        <item x="85"/>
        <item x="53"/>
        <item x="93"/>
        <item x="185"/>
        <item x="23"/>
        <item x="199"/>
        <item x="32"/>
        <item x="22"/>
        <item x="246"/>
        <item x="216"/>
        <item x="198"/>
        <item x="262"/>
        <item x="174"/>
        <item x="162"/>
        <item x="168"/>
        <item x="236"/>
        <item x="47"/>
        <item x="135"/>
        <item x="266"/>
        <item x="120"/>
        <item x="55"/>
        <item x="112"/>
        <item x="169"/>
        <item x="68"/>
        <item x="186"/>
        <item x="229"/>
        <item x="110"/>
        <item x="261"/>
        <item x="91"/>
        <item x="103"/>
        <item x="248"/>
        <item x="249"/>
        <item x="144"/>
        <item x="240"/>
        <item x="166"/>
        <item x="268"/>
        <item x="155"/>
        <item x="1"/>
        <item x="171"/>
        <item x="66"/>
        <item x="108"/>
        <item x="259"/>
        <item x="132"/>
        <item x="204"/>
        <item t="default"/>
      </items>
    </pivotField>
    <pivotField showAll="0"/>
    <pivotField showAll="0">
      <items count="16">
        <item x="14"/>
        <item x="2"/>
        <item x="0"/>
        <item x="8"/>
        <item x="7"/>
        <item x="13"/>
        <item x="10"/>
        <item x="9"/>
        <item x="3"/>
        <item x="11"/>
        <item x="4"/>
        <item x="12"/>
        <item x="1"/>
        <item x="6"/>
        <item x="5"/>
        <item t="default"/>
      </items>
    </pivotField>
    <pivotField showAll="0"/>
    <pivotField showAll="0"/>
    <pivotField showAll="0"/>
    <pivotField showAll="0">
      <items count="7">
        <item x="3"/>
        <item x="0"/>
        <item x="4"/>
        <item x="2"/>
        <item x="5"/>
        <item x="1"/>
        <item t="default"/>
      </items>
    </pivotField>
    <pivotField showAll="0"/>
    <pivotField numFmtId="1" showAll="0"/>
    <pivotField showAll="0"/>
    <pivotField showAll="0"/>
    <pivotField showAll="0"/>
    <pivotField showAll="0"/>
    <pivotField showAll="0"/>
    <pivotField showAll="0"/>
    <pivotField showAll="0"/>
    <pivotField showAll="0">
      <items count="7">
        <item x="5"/>
        <item x="2"/>
        <item x="1"/>
        <item x="3"/>
        <item x="0"/>
        <item x="4"/>
        <item t="default"/>
      </items>
    </pivotField>
    <pivotField showAll="0">
      <items count="4">
        <item x="0"/>
        <item x="2"/>
        <item x="1"/>
        <item t="default"/>
      </items>
    </pivotField>
    <pivotField axis="axisRow" showAll="0">
      <items count="6">
        <item x="4"/>
        <item x="0"/>
        <item x="2"/>
        <item x="3"/>
        <item x="1"/>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0"/>
  </rowFields>
  <rowItems count="5">
    <i>
      <x/>
    </i>
    <i>
      <x v="1"/>
    </i>
    <i>
      <x v="2"/>
    </i>
    <i>
      <x v="3"/>
    </i>
    <i>
      <x v="4"/>
    </i>
  </rowItems>
  <colItems count="1">
    <i/>
  </colItems>
  <dataFields count="1">
    <dataField name="Count of Order_ID" fld="0" subtotal="count" baseField="0" baseItem="0"/>
  </dataFields>
  <chartFormats count="12">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20" count="1" selected="0">
            <x v="0"/>
          </reference>
        </references>
      </pivotArea>
    </chartFormat>
    <chartFormat chart="3" format="9">
      <pivotArea type="data" outline="0" fieldPosition="0">
        <references count="2">
          <reference field="4294967294" count="1" selected="0">
            <x v="0"/>
          </reference>
          <reference field="20" count="1" selected="0">
            <x v="1"/>
          </reference>
        </references>
      </pivotArea>
    </chartFormat>
    <chartFormat chart="3" format="10">
      <pivotArea type="data" outline="0" fieldPosition="0">
        <references count="2">
          <reference field="4294967294" count="1" selected="0">
            <x v="0"/>
          </reference>
          <reference field="20" count="1" selected="0">
            <x v="2"/>
          </reference>
        </references>
      </pivotArea>
    </chartFormat>
    <chartFormat chart="3" format="11">
      <pivotArea type="data" outline="0" fieldPosition="0">
        <references count="2">
          <reference field="4294967294" count="1" selected="0">
            <x v="0"/>
          </reference>
          <reference field="20" count="1" selected="0">
            <x v="3"/>
          </reference>
        </references>
      </pivotArea>
    </chartFormat>
    <chartFormat chart="3" format="12">
      <pivotArea type="data" outline="0" fieldPosition="0">
        <references count="2">
          <reference field="4294967294" count="1" selected="0">
            <x v="0"/>
          </reference>
          <reference field="20" count="1" selected="0">
            <x v="4"/>
          </reference>
        </references>
      </pivotArea>
    </chartFormat>
    <chartFormat chart="0" format="1">
      <pivotArea type="data" outline="0" fieldPosition="0">
        <references count="2">
          <reference field="4294967294" count="1" selected="0">
            <x v="0"/>
          </reference>
          <reference field="20" count="1" selected="0">
            <x v="0"/>
          </reference>
        </references>
      </pivotArea>
    </chartFormat>
    <chartFormat chart="0" format="2">
      <pivotArea type="data" outline="0" fieldPosition="0">
        <references count="2">
          <reference field="4294967294" count="1" selected="0">
            <x v="0"/>
          </reference>
          <reference field="20" count="1" selected="0">
            <x v="1"/>
          </reference>
        </references>
      </pivotArea>
    </chartFormat>
    <chartFormat chart="0" format="3">
      <pivotArea type="data" outline="0" fieldPosition="0">
        <references count="2">
          <reference field="4294967294" count="1" selected="0">
            <x v="0"/>
          </reference>
          <reference field="20" count="1" selected="0">
            <x v="2"/>
          </reference>
        </references>
      </pivotArea>
    </chartFormat>
    <chartFormat chart="0" format="4">
      <pivotArea type="data" outline="0" fieldPosition="0">
        <references count="2">
          <reference field="4294967294" count="1" selected="0">
            <x v="0"/>
          </reference>
          <reference field="20" count="1" selected="0">
            <x v="3"/>
          </reference>
        </references>
      </pivotArea>
    </chartFormat>
    <chartFormat chart="0" format="5">
      <pivotArea type="data" outline="0" fieldPosition="0">
        <references count="2">
          <reference field="4294967294" count="1" selected="0">
            <x v="0"/>
          </reference>
          <reference field="2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8BEC32-B640-4180-8595-DE6F1254D915}"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B2:C8" firstHeaderRow="1" firstDataRow="1" firstDataCol="1"/>
  <pivotFields count="25">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numFmtId="14" showAll="0">
      <items count="272">
        <item x="232"/>
        <item x="70"/>
        <item x="197"/>
        <item x="250"/>
        <item x="158"/>
        <item x="12"/>
        <item x="222"/>
        <item x="253"/>
        <item x="0"/>
        <item x="141"/>
        <item x="88"/>
        <item x="179"/>
        <item x="202"/>
        <item x="263"/>
        <item x="184"/>
        <item x="4"/>
        <item x="247"/>
        <item x="191"/>
        <item x="200"/>
        <item x="230"/>
        <item x="92"/>
        <item x="2"/>
        <item x="14"/>
        <item x="270"/>
        <item x="218"/>
        <item x="95"/>
        <item x="196"/>
        <item x="242"/>
        <item x="36"/>
        <item x="265"/>
        <item x="82"/>
        <item x="122"/>
        <item x="75"/>
        <item x="69"/>
        <item x="228"/>
        <item x="225"/>
        <item x="26"/>
        <item x="84"/>
        <item x="139"/>
        <item x="100"/>
        <item x="18"/>
        <item x="165"/>
        <item x="143"/>
        <item x="48"/>
        <item x="56"/>
        <item x="217"/>
        <item x="203"/>
        <item x="227"/>
        <item x="81"/>
        <item x="136"/>
        <item x="67"/>
        <item x="94"/>
        <item x="129"/>
        <item x="109"/>
        <item x="52"/>
        <item x="24"/>
        <item x="63"/>
        <item x="149"/>
        <item x="235"/>
        <item x="220"/>
        <item x="181"/>
        <item x="159"/>
        <item x="255"/>
        <item x="20"/>
        <item x="180"/>
        <item x="125"/>
        <item x="157"/>
        <item x="15"/>
        <item x="130"/>
        <item x="254"/>
        <item x="8"/>
        <item x="105"/>
        <item x="214"/>
        <item x="233"/>
        <item x="9"/>
        <item x="175"/>
        <item x="111"/>
        <item x="113"/>
        <item x="243"/>
        <item x="44"/>
        <item x="37"/>
        <item x="61"/>
        <item x="150"/>
        <item x="41"/>
        <item x="86"/>
        <item x="226"/>
        <item x="208"/>
        <item x="27"/>
        <item x="177"/>
        <item x="182"/>
        <item x="39"/>
        <item x="73"/>
        <item x="194"/>
        <item x="35"/>
        <item x="5"/>
        <item x="42"/>
        <item x="133"/>
        <item x="161"/>
        <item x="147"/>
        <item x="17"/>
        <item x="104"/>
        <item x="146"/>
        <item x="80"/>
        <item x="97"/>
        <item x="43"/>
        <item x="178"/>
        <item x="209"/>
        <item x="90"/>
        <item x="164"/>
        <item x="101"/>
        <item x="38"/>
        <item x="257"/>
        <item x="237"/>
        <item x="7"/>
        <item x="89"/>
        <item x="244"/>
        <item x="163"/>
        <item x="71"/>
        <item x="215"/>
        <item x="50"/>
        <item x="62"/>
        <item x="234"/>
        <item x="31"/>
        <item x="11"/>
        <item x="152"/>
        <item x="21"/>
        <item x="16"/>
        <item x="76"/>
        <item x="29"/>
        <item x="251"/>
        <item x="131"/>
        <item x="115"/>
        <item x="64"/>
        <item x="57"/>
        <item x="140"/>
        <item x="3"/>
        <item x="117"/>
        <item x="239"/>
        <item x="49"/>
        <item x="123"/>
        <item x="6"/>
        <item x="28"/>
        <item x="60"/>
        <item x="195"/>
        <item x="127"/>
        <item x="176"/>
        <item x="156"/>
        <item x="193"/>
        <item x="45"/>
        <item x="207"/>
        <item x="153"/>
        <item x="19"/>
        <item x="151"/>
        <item x="201"/>
        <item x="170"/>
        <item x="126"/>
        <item x="219"/>
        <item x="154"/>
        <item x="264"/>
        <item x="34"/>
        <item x="46"/>
        <item x="83"/>
        <item x="54"/>
        <item x="267"/>
        <item x="107"/>
        <item x="256"/>
        <item x="121"/>
        <item x="145"/>
        <item x="210"/>
        <item x="25"/>
        <item x="99"/>
        <item x="74"/>
        <item x="78"/>
        <item x="269"/>
        <item x="30"/>
        <item x="252"/>
        <item x="106"/>
        <item x="160"/>
        <item x="128"/>
        <item x="124"/>
        <item x="98"/>
        <item x="134"/>
        <item x="65"/>
        <item x="148"/>
        <item x="172"/>
        <item x="212"/>
        <item x="119"/>
        <item x="118"/>
        <item x="260"/>
        <item x="138"/>
        <item x="72"/>
        <item x="188"/>
        <item x="142"/>
        <item x="213"/>
        <item x="224"/>
        <item x="102"/>
        <item x="241"/>
        <item x="205"/>
        <item x="51"/>
        <item x="114"/>
        <item x="258"/>
        <item x="116"/>
        <item x="167"/>
        <item x="190"/>
        <item x="96"/>
        <item x="87"/>
        <item x="13"/>
        <item x="58"/>
        <item x="192"/>
        <item x="59"/>
        <item x="189"/>
        <item x="238"/>
        <item x="206"/>
        <item x="231"/>
        <item x="211"/>
        <item x="173"/>
        <item x="33"/>
        <item x="10"/>
        <item x="77"/>
        <item x="245"/>
        <item x="183"/>
        <item x="187"/>
        <item x="223"/>
        <item x="221"/>
        <item x="40"/>
        <item x="137"/>
        <item x="79"/>
        <item x="85"/>
        <item x="53"/>
        <item x="93"/>
        <item x="185"/>
        <item x="23"/>
        <item x="199"/>
        <item x="32"/>
        <item x="22"/>
        <item x="246"/>
        <item x="216"/>
        <item x="198"/>
        <item x="262"/>
        <item x="174"/>
        <item x="162"/>
        <item x="168"/>
        <item x="236"/>
        <item x="47"/>
        <item x="135"/>
        <item x="266"/>
        <item x="120"/>
        <item x="55"/>
        <item x="112"/>
        <item x="169"/>
        <item x="68"/>
        <item x="186"/>
        <item x="229"/>
        <item x="110"/>
        <item x="261"/>
        <item x="91"/>
        <item x="103"/>
        <item x="248"/>
        <item x="249"/>
        <item x="144"/>
        <item x="240"/>
        <item x="166"/>
        <item x="268"/>
        <item x="155"/>
        <item x="1"/>
        <item x="171"/>
        <item x="66"/>
        <item x="108"/>
        <item x="259"/>
        <item x="132"/>
        <item x="204"/>
        <item t="default"/>
      </items>
    </pivotField>
    <pivotField showAll="0"/>
    <pivotField showAll="0">
      <items count="16">
        <item x="14"/>
        <item x="2"/>
        <item x="0"/>
        <item x="8"/>
        <item x="7"/>
        <item x="13"/>
        <item x="10"/>
        <item x="9"/>
        <item x="3"/>
        <item x="11"/>
        <item x="4"/>
        <item x="12"/>
        <item x="1"/>
        <item x="6"/>
        <item x="5"/>
        <item t="default"/>
      </items>
    </pivotField>
    <pivotField showAll="0"/>
    <pivotField showAll="0"/>
    <pivotField showAll="0"/>
    <pivotField showAll="0">
      <items count="7">
        <item x="3"/>
        <item x="0"/>
        <item x="4"/>
        <item x="2"/>
        <item x="5"/>
        <item x="1"/>
        <item t="default"/>
      </items>
    </pivotField>
    <pivotField showAll="0"/>
    <pivotField numFmtId="1" showAll="0"/>
    <pivotField showAll="0"/>
    <pivotField showAll="0"/>
    <pivotField showAll="0"/>
    <pivotField showAll="0"/>
    <pivotField showAll="0"/>
    <pivotField showAll="0"/>
    <pivotField showAll="0"/>
    <pivotField axis="axisRow" showAll="0">
      <items count="7">
        <item x="5"/>
        <item x="2"/>
        <item x="1"/>
        <item x="3"/>
        <item x="0"/>
        <item x="4"/>
        <item t="default"/>
      </items>
    </pivotField>
    <pivotField showAll="0">
      <items count="4">
        <item x="0"/>
        <item x="2"/>
        <item x="1"/>
        <item t="default"/>
      </items>
    </pivotField>
    <pivotField showAll="0">
      <items count="6">
        <item x="4"/>
        <item x="0"/>
        <item x="2"/>
        <item x="3"/>
        <item x="1"/>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8"/>
  </rowFields>
  <rowItems count="6">
    <i>
      <x/>
    </i>
    <i>
      <x v="1"/>
    </i>
    <i>
      <x v="2"/>
    </i>
    <i>
      <x v="3"/>
    </i>
    <i>
      <x v="4"/>
    </i>
    <i>
      <x v="5"/>
    </i>
  </rowItems>
  <colItems count="1">
    <i/>
  </colItems>
  <dataFields count="1">
    <dataField name="Count of Order_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A73C7F8-8A79-4926-B63D-2F60AE647E32}" name="PivotTable4"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0">
  <location ref="B2:C5" firstHeaderRow="1" firstDataRow="1" firstDataCol="1"/>
  <pivotFields count="25">
    <pivotField showAll="0"/>
    <pivotField showAll="0"/>
    <pivotField numFmtId="14" showAll="0">
      <items count="272">
        <item x="232"/>
        <item x="70"/>
        <item x="197"/>
        <item x="250"/>
        <item x="158"/>
        <item x="12"/>
        <item x="222"/>
        <item x="253"/>
        <item x="0"/>
        <item x="141"/>
        <item x="88"/>
        <item x="179"/>
        <item x="202"/>
        <item x="263"/>
        <item x="184"/>
        <item x="4"/>
        <item x="247"/>
        <item x="191"/>
        <item x="200"/>
        <item x="230"/>
        <item x="92"/>
        <item x="2"/>
        <item x="14"/>
        <item x="270"/>
        <item x="218"/>
        <item x="95"/>
        <item x="196"/>
        <item x="242"/>
        <item x="36"/>
        <item x="265"/>
        <item x="82"/>
        <item x="122"/>
        <item x="75"/>
        <item x="69"/>
        <item x="228"/>
        <item x="225"/>
        <item x="26"/>
        <item x="84"/>
        <item x="139"/>
        <item x="100"/>
        <item x="18"/>
        <item x="165"/>
        <item x="143"/>
        <item x="48"/>
        <item x="56"/>
        <item x="217"/>
        <item x="203"/>
        <item x="227"/>
        <item x="81"/>
        <item x="136"/>
        <item x="67"/>
        <item x="94"/>
        <item x="129"/>
        <item x="109"/>
        <item x="52"/>
        <item x="24"/>
        <item x="63"/>
        <item x="149"/>
        <item x="235"/>
        <item x="220"/>
        <item x="181"/>
        <item x="159"/>
        <item x="255"/>
        <item x="20"/>
        <item x="180"/>
        <item x="125"/>
        <item x="157"/>
        <item x="15"/>
        <item x="130"/>
        <item x="254"/>
        <item x="8"/>
        <item x="105"/>
        <item x="214"/>
        <item x="233"/>
        <item x="9"/>
        <item x="175"/>
        <item x="111"/>
        <item x="113"/>
        <item x="243"/>
        <item x="44"/>
        <item x="37"/>
        <item x="61"/>
        <item x="150"/>
        <item x="41"/>
        <item x="86"/>
        <item x="226"/>
        <item x="208"/>
        <item x="27"/>
        <item x="177"/>
        <item x="182"/>
        <item x="39"/>
        <item x="73"/>
        <item x="194"/>
        <item x="35"/>
        <item x="5"/>
        <item x="42"/>
        <item x="133"/>
        <item x="161"/>
        <item x="147"/>
        <item x="17"/>
        <item x="104"/>
        <item x="146"/>
        <item x="80"/>
        <item x="97"/>
        <item x="43"/>
        <item x="178"/>
        <item x="209"/>
        <item x="90"/>
        <item x="164"/>
        <item x="101"/>
        <item x="38"/>
        <item x="257"/>
        <item x="237"/>
        <item x="7"/>
        <item x="89"/>
        <item x="244"/>
        <item x="163"/>
        <item x="71"/>
        <item x="215"/>
        <item x="50"/>
        <item x="62"/>
        <item x="234"/>
        <item x="31"/>
        <item x="11"/>
        <item x="152"/>
        <item x="21"/>
        <item x="16"/>
        <item x="76"/>
        <item x="29"/>
        <item x="251"/>
        <item x="131"/>
        <item x="115"/>
        <item x="64"/>
        <item x="57"/>
        <item x="140"/>
        <item x="3"/>
        <item x="117"/>
        <item x="239"/>
        <item x="49"/>
        <item x="123"/>
        <item x="6"/>
        <item x="28"/>
        <item x="60"/>
        <item x="195"/>
        <item x="127"/>
        <item x="176"/>
        <item x="156"/>
        <item x="193"/>
        <item x="45"/>
        <item x="207"/>
        <item x="153"/>
        <item x="19"/>
        <item x="151"/>
        <item x="201"/>
        <item x="170"/>
        <item x="126"/>
        <item x="219"/>
        <item x="154"/>
        <item x="264"/>
        <item x="34"/>
        <item x="46"/>
        <item x="83"/>
        <item x="54"/>
        <item x="267"/>
        <item x="107"/>
        <item x="256"/>
        <item x="121"/>
        <item x="145"/>
        <item x="210"/>
        <item x="25"/>
        <item x="99"/>
        <item x="74"/>
        <item x="78"/>
        <item x="269"/>
        <item x="30"/>
        <item x="252"/>
        <item x="106"/>
        <item x="160"/>
        <item x="128"/>
        <item x="124"/>
        <item x="98"/>
        <item x="134"/>
        <item x="65"/>
        <item x="148"/>
        <item x="172"/>
        <item x="212"/>
        <item x="119"/>
        <item x="118"/>
        <item x="260"/>
        <item x="138"/>
        <item x="72"/>
        <item x="188"/>
        <item x="142"/>
        <item x="213"/>
        <item x="224"/>
        <item x="102"/>
        <item x="241"/>
        <item x="205"/>
        <item x="51"/>
        <item x="114"/>
        <item x="258"/>
        <item x="116"/>
        <item x="167"/>
        <item x="190"/>
        <item x="96"/>
        <item x="87"/>
        <item x="13"/>
        <item x="58"/>
        <item x="192"/>
        <item x="59"/>
        <item x="189"/>
        <item x="238"/>
        <item x="206"/>
        <item x="231"/>
        <item x="211"/>
        <item x="173"/>
        <item x="33"/>
        <item x="10"/>
        <item x="77"/>
        <item x="245"/>
        <item x="183"/>
        <item x="187"/>
        <item x="223"/>
        <item x="221"/>
        <item x="40"/>
        <item x="137"/>
        <item x="79"/>
        <item x="85"/>
        <item x="53"/>
        <item x="93"/>
        <item x="185"/>
        <item x="23"/>
        <item x="199"/>
        <item x="32"/>
        <item x="22"/>
        <item x="246"/>
        <item x="216"/>
        <item x="198"/>
        <item x="262"/>
        <item x="174"/>
        <item x="162"/>
        <item x="168"/>
        <item x="236"/>
        <item x="47"/>
        <item x="135"/>
        <item x="266"/>
        <item x="120"/>
        <item x="55"/>
        <item x="112"/>
        <item x="169"/>
        <item x="68"/>
        <item x="186"/>
        <item x="229"/>
        <item x="110"/>
        <item x="261"/>
        <item x="91"/>
        <item x="103"/>
        <item x="248"/>
        <item x="249"/>
        <item x="144"/>
        <item x="240"/>
        <item x="166"/>
        <item x="268"/>
        <item x="155"/>
        <item x="1"/>
        <item x="171"/>
        <item x="66"/>
        <item x="108"/>
        <item x="259"/>
        <item x="132"/>
        <item x="204"/>
        <item t="default"/>
      </items>
    </pivotField>
    <pivotField showAll="0"/>
    <pivotField showAll="0">
      <items count="16">
        <item x="14"/>
        <item x="2"/>
        <item x="0"/>
        <item x="8"/>
        <item x="7"/>
        <item x="13"/>
        <item x="10"/>
        <item x="9"/>
        <item x="3"/>
        <item x="11"/>
        <item x="4"/>
        <item x="12"/>
        <item x="1"/>
        <item x="6"/>
        <item x="5"/>
        <item t="default"/>
      </items>
    </pivotField>
    <pivotField showAll="0"/>
    <pivotField showAll="0"/>
    <pivotField showAll="0"/>
    <pivotField showAll="0">
      <items count="7">
        <item x="3"/>
        <item x="0"/>
        <item x="4"/>
        <item x="2"/>
        <item x="5"/>
        <item x="1"/>
        <item t="default"/>
      </items>
    </pivotField>
    <pivotField showAll="0"/>
    <pivotField numFmtId="1" showAll="0"/>
    <pivotField showAll="0"/>
    <pivotField showAll="0"/>
    <pivotField showAll="0"/>
    <pivotField showAll="0"/>
    <pivotField showAll="0"/>
    <pivotField showAll="0"/>
    <pivotField dataField="1" showAll="0"/>
    <pivotField showAll="0">
      <items count="7">
        <item x="5"/>
        <item x="2"/>
        <item x="1"/>
        <item x="3"/>
        <item x="0"/>
        <item x="4"/>
        <item t="default"/>
      </items>
    </pivotField>
    <pivotField axis="axisRow" showAll="0">
      <items count="4">
        <item x="0"/>
        <item x="2"/>
        <item x="1"/>
        <item t="default"/>
      </items>
    </pivotField>
    <pivotField showAll="0">
      <items count="6">
        <item x="4"/>
        <item x="0"/>
        <item x="2"/>
        <item x="3"/>
        <item x="1"/>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9"/>
  </rowFields>
  <rowItems count="3">
    <i>
      <x/>
    </i>
    <i>
      <x v="1"/>
    </i>
    <i>
      <x v="2"/>
    </i>
  </rowItems>
  <colItems count="1">
    <i/>
  </colItems>
  <dataFields count="1">
    <dataField name="Sum of Total_Amount_INR" fld="17"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0520B2F-A593-487F-9298-D5A85CFAEBCC}"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B2:C12" firstHeaderRow="1" firstDataRow="1" firstDataCol="1"/>
  <pivotFields count="25">
    <pivotField showAll="0"/>
    <pivotField showAll="0"/>
    <pivotField numFmtId="14" showAll="0">
      <items count="272">
        <item x="232"/>
        <item x="70"/>
        <item x="197"/>
        <item x="250"/>
        <item x="158"/>
        <item x="12"/>
        <item x="222"/>
        <item x="253"/>
        <item x="0"/>
        <item x="141"/>
        <item x="88"/>
        <item x="179"/>
        <item x="202"/>
        <item x="263"/>
        <item x="184"/>
        <item x="4"/>
        <item x="247"/>
        <item x="191"/>
        <item x="200"/>
        <item x="230"/>
        <item x="92"/>
        <item x="2"/>
        <item x="14"/>
        <item x="270"/>
        <item x="218"/>
        <item x="95"/>
        <item x="196"/>
        <item x="242"/>
        <item x="36"/>
        <item x="265"/>
        <item x="82"/>
        <item x="122"/>
        <item x="75"/>
        <item x="69"/>
        <item x="228"/>
        <item x="225"/>
        <item x="26"/>
        <item x="84"/>
        <item x="139"/>
        <item x="100"/>
        <item x="18"/>
        <item x="165"/>
        <item x="143"/>
        <item x="48"/>
        <item x="56"/>
        <item x="217"/>
        <item x="203"/>
        <item x="227"/>
        <item x="81"/>
        <item x="136"/>
        <item x="67"/>
        <item x="94"/>
        <item x="129"/>
        <item x="109"/>
        <item x="52"/>
        <item x="24"/>
        <item x="63"/>
        <item x="149"/>
        <item x="235"/>
        <item x="220"/>
        <item x="181"/>
        <item x="159"/>
        <item x="255"/>
        <item x="20"/>
        <item x="180"/>
        <item x="125"/>
        <item x="157"/>
        <item x="15"/>
        <item x="130"/>
        <item x="254"/>
        <item x="8"/>
        <item x="105"/>
        <item x="214"/>
        <item x="233"/>
        <item x="9"/>
        <item x="175"/>
        <item x="111"/>
        <item x="113"/>
        <item x="243"/>
        <item x="44"/>
        <item x="37"/>
        <item x="61"/>
        <item x="150"/>
        <item x="41"/>
        <item x="86"/>
        <item x="226"/>
        <item x="208"/>
        <item x="27"/>
        <item x="177"/>
        <item x="182"/>
        <item x="39"/>
        <item x="73"/>
        <item x="194"/>
        <item x="35"/>
        <item x="5"/>
        <item x="42"/>
        <item x="133"/>
        <item x="161"/>
        <item x="147"/>
        <item x="17"/>
        <item x="104"/>
        <item x="146"/>
        <item x="80"/>
        <item x="97"/>
        <item x="43"/>
        <item x="178"/>
        <item x="209"/>
        <item x="90"/>
        <item x="164"/>
        <item x="101"/>
        <item x="38"/>
        <item x="257"/>
        <item x="237"/>
        <item x="7"/>
        <item x="89"/>
        <item x="244"/>
        <item x="163"/>
        <item x="71"/>
        <item x="215"/>
        <item x="50"/>
        <item x="62"/>
        <item x="234"/>
        <item x="31"/>
        <item x="11"/>
        <item x="152"/>
        <item x="21"/>
        <item x="16"/>
        <item x="76"/>
        <item x="29"/>
        <item x="251"/>
        <item x="131"/>
        <item x="115"/>
        <item x="64"/>
        <item x="57"/>
        <item x="140"/>
        <item x="3"/>
        <item x="117"/>
        <item x="239"/>
        <item x="49"/>
        <item x="123"/>
        <item x="6"/>
        <item x="28"/>
        <item x="60"/>
        <item x="195"/>
        <item x="127"/>
        <item x="176"/>
        <item x="156"/>
        <item x="193"/>
        <item x="45"/>
        <item x="207"/>
        <item x="153"/>
        <item x="19"/>
        <item x="151"/>
        <item x="201"/>
        <item x="170"/>
        <item x="126"/>
        <item x="219"/>
        <item x="154"/>
        <item x="264"/>
        <item x="34"/>
        <item x="46"/>
        <item x="83"/>
        <item x="54"/>
        <item x="267"/>
        <item x="107"/>
        <item x="256"/>
        <item x="121"/>
        <item x="145"/>
        <item x="210"/>
        <item x="25"/>
        <item x="99"/>
        <item x="74"/>
        <item x="78"/>
        <item x="269"/>
        <item x="30"/>
        <item x="252"/>
        <item x="106"/>
        <item x="160"/>
        <item x="128"/>
        <item x="124"/>
        <item x="98"/>
        <item x="134"/>
        <item x="65"/>
        <item x="148"/>
        <item x="172"/>
        <item x="212"/>
        <item x="119"/>
        <item x="118"/>
        <item x="260"/>
        <item x="138"/>
        <item x="72"/>
        <item x="188"/>
        <item x="142"/>
        <item x="213"/>
        <item x="224"/>
        <item x="102"/>
        <item x="241"/>
        <item x="205"/>
        <item x="51"/>
        <item x="114"/>
        <item x="258"/>
        <item x="116"/>
        <item x="167"/>
        <item x="190"/>
        <item x="96"/>
        <item x="87"/>
        <item x="13"/>
        <item x="58"/>
        <item x="192"/>
        <item x="59"/>
        <item x="189"/>
        <item x="238"/>
        <item x="206"/>
        <item x="231"/>
        <item x="211"/>
        <item x="173"/>
        <item x="33"/>
        <item x="10"/>
        <item x="77"/>
        <item x="245"/>
        <item x="183"/>
        <item x="187"/>
        <item x="223"/>
        <item x="221"/>
        <item x="40"/>
        <item x="137"/>
        <item x="79"/>
        <item x="85"/>
        <item x="53"/>
        <item x="93"/>
        <item x="185"/>
        <item x="23"/>
        <item x="199"/>
        <item x="32"/>
        <item x="22"/>
        <item x="246"/>
        <item x="216"/>
        <item x="198"/>
        <item x="262"/>
        <item x="174"/>
        <item x="162"/>
        <item x="168"/>
        <item x="236"/>
        <item x="47"/>
        <item x="135"/>
        <item x="266"/>
        <item x="120"/>
        <item x="55"/>
        <item x="112"/>
        <item x="169"/>
        <item x="68"/>
        <item x="186"/>
        <item x="229"/>
        <item x="110"/>
        <item x="261"/>
        <item x="91"/>
        <item x="103"/>
        <item x="248"/>
        <item x="249"/>
        <item x="144"/>
        <item x="240"/>
        <item x="166"/>
        <item x="268"/>
        <item x="155"/>
        <item x="1"/>
        <item x="171"/>
        <item x="66"/>
        <item x="108"/>
        <item x="259"/>
        <item x="132"/>
        <item x="204"/>
        <item t="default"/>
      </items>
    </pivotField>
    <pivotField showAll="0"/>
    <pivotField showAll="0">
      <items count="16">
        <item x="14"/>
        <item x="2"/>
        <item x="0"/>
        <item x="8"/>
        <item x="7"/>
        <item x="13"/>
        <item x="10"/>
        <item x="9"/>
        <item x="3"/>
        <item x="11"/>
        <item x="4"/>
        <item x="12"/>
        <item x="1"/>
        <item x="6"/>
        <item x="5"/>
        <item t="default"/>
      </items>
    </pivotField>
    <pivotField showAll="0"/>
    <pivotField showAll="0"/>
    <pivotField showAll="0"/>
    <pivotField showAll="0">
      <items count="7">
        <item x="3"/>
        <item x="0"/>
        <item x="4"/>
        <item x="2"/>
        <item x="5"/>
        <item x="1"/>
        <item t="default"/>
      </items>
    </pivotField>
    <pivotField axis="axisRow" showAll="0" measureFilter="1" sortType="descending">
      <items count="31">
        <item x="1"/>
        <item x="26"/>
        <item x="22"/>
        <item x="27"/>
        <item x="24"/>
        <item x="13"/>
        <item x="20"/>
        <item x="29"/>
        <item x="25"/>
        <item x="23"/>
        <item x="7"/>
        <item x="3"/>
        <item x="10"/>
        <item x="5"/>
        <item x="15"/>
        <item x="8"/>
        <item x="2"/>
        <item x="11"/>
        <item x="17"/>
        <item x="4"/>
        <item x="0"/>
        <item x="28"/>
        <item x="18"/>
        <item x="14"/>
        <item x="16"/>
        <item x="6"/>
        <item x="9"/>
        <item x="12"/>
        <item x="21"/>
        <item x="19"/>
        <item t="default"/>
      </items>
      <autoSortScope>
        <pivotArea dataOnly="0" outline="0" fieldPosition="0">
          <references count="1">
            <reference field="4294967294" count="1" selected="0">
              <x v="0"/>
            </reference>
          </references>
        </pivotArea>
      </autoSortScope>
    </pivotField>
    <pivotField numFmtId="1" showAll="0"/>
    <pivotField showAll="0"/>
    <pivotField showAll="0"/>
    <pivotField showAll="0"/>
    <pivotField showAll="0"/>
    <pivotField showAll="0"/>
    <pivotField showAll="0"/>
    <pivotField dataField="1" showAll="0"/>
    <pivotField showAll="0">
      <items count="7">
        <item x="5"/>
        <item x="2"/>
        <item x="1"/>
        <item x="3"/>
        <item x="0"/>
        <item x="4"/>
        <item t="default"/>
      </items>
    </pivotField>
    <pivotField showAll="0">
      <items count="4">
        <item x="0"/>
        <item x="2"/>
        <item x="1"/>
        <item t="default"/>
      </items>
    </pivotField>
    <pivotField showAll="0">
      <items count="6">
        <item x="4"/>
        <item x="0"/>
        <item x="2"/>
        <item x="3"/>
        <item x="1"/>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10">
    <i>
      <x v="20"/>
    </i>
    <i>
      <x v="11"/>
    </i>
    <i>
      <x v="8"/>
    </i>
    <i>
      <x v="21"/>
    </i>
    <i>
      <x v="15"/>
    </i>
    <i>
      <x v="6"/>
    </i>
    <i>
      <x/>
    </i>
    <i>
      <x v="12"/>
    </i>
    <i>
      <x v="3"/>
    </i>
    <i>
      <x v="9"/>
    </i>
  </rowItems>
  <colItems count="1">
    <i/>
  </colItems>
  <dataFields count="1">
    <dataField name="Sum of Total_Amount_INR" fld="17"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ct" xr10:uid="{116AB255-D011-445A-A33D-B64DD675A1F7}" sourceName="District">
  <pivotTables>
    <pivotTable tabId="7" name="PivotTable1"/>
    <pivotTable tabId="3" name="PivotTable3"/>
    <pivotTable tabId="4" name="PivotTable4"/>
    <pivotTable tabId="8" name="PivotTable3"/>
    <pivotTable tabId="6" name="PivotTable6"/>
    <pivotTable tabId="5" name="PivotTable5"/>
    <pivotTable tabId="9" name="PivotTable4"/>
    <pivotTable tabId="10" name="PivotTable5"/>
  </pivotTables>
  <data>
    <tabular pivotCacheId="1535127990">
      <items count="15">
        <i x="14" s="1"/>
        <i x="2" s="1"/>
        <i x="0" s="1"/>
        <i x="8" s="1"/>
        <i x="7" s="1"/>
        <i x="13" s="1"/>
        <i x="10" s="1"/>
        <i x="9" s="1"/>
        <i x="3" s="1"/>
        <i x="11" s="1"/>
        <i x="4" s="1"/>
        <i x="12" s="1"/>
        <i x="1" s="1"/>
        <i x="6"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9224CF2-76E2-4E70-896A-E470181C7758}" sourceName="Category">
  <pivotTables>
    <pivotTable tabId="10" name="PivotTable5"/>
    <pivotTable tabId="3" name="PivotTable3"/>
    <pivotTable tabId="4" name="PivotTable4"/>
    <pivotTable tabId="7" name="PivotTable1"/>
    <pivotTable tabId="8" name="PivotTable3"/>
    <pivotTable tabId="6" name="PivotTable6"/>
    <pivotTable tabId="5" name="PivotTable5"/>
    <pivotTable tabId="9" name="PivotTable4"/>
  </pivotTables>
  <data>
    <tabular pivotCacheId="1535127990">
      <items count="6">
        <i x="3" s="1"/>
        <i x="0" s="1"/>
        <i x="4" s="1"/>
        <i x="2" s="1"/>
        <i x="5"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0B3F0CD9-CB48-48A4-9135-AE18353E8D88}" sourceName="Order_Status">
  <pivotTables>
    <pivotTable tabId="10" name="PivotTable5"/>
    <pivotTable tabId="3" name="PivotTable3"/>
    <pivotTable tabId="4" name="PivotTable4"/>
    <pivotTable tabId="7" name="PivotTable1"/>
    <pivotTable tabId="8" name="PivotTable3"/>
    <pivotTable tabId="6" name="PivotTable6"/>
    <pivotTable tabId="5" name="PivotTable5"/>
    <pivotTable tabId="9" name="PivotTable4"/>
  </pivotTables>
  <data>
    <tabular pivotCacheId="1535127990">
      <items count="5">
        <i x="4" s="1"/>
        <i x="0" s="1"/>
        <i x="2"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EB4C5680-6C36-42E2-8509-C167042F05AE}" sourceName="Payment_Method">
  <pivotTables>
    <pivotTable tabId="10" name="PivotTable5"/>
    <pivotTable tabId="3" name="PivotTable3"/>
    <pivotTable tabId="4" name="PivotTable4"/>
    <pivotTable tabId="7" name="PivotTable1"/>
    <pivotTable tabId="8" name="PivotTable3"/>
    <pivotTable tabId="6" name="PivotTable6"/>
    <pivotTable tabId="5" name="PivotTable5"/>
    <pivotTable tabId="9" name="PivotTable4"/>
  </pivotTables>
  <data>
    <tabular pivotCacheId="1535127990">
      <items count="6">
        <i x="5" s="1"/>
        <i x="2" s="1"/>
        <i x="1" s="1"/>
        <i x="3" s="1"/>
        <i x="0"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E2DBDEC8-7DA6-4D22-A312-472FDA725BBB}" sourceName="Sales_Channel">
  <pivotTables>
    <pivotTable tabId="8" name="PivotTable3"/>
    <pivotTable tabId="3" name="PivotTable3"/>
    <pivotTable tabId="4" name="PivotTable4"/>
    <pivotTable tabId="7" name="PivotTable1"/>
    <pivotTable tabId="6" name="PivotTable6"/>
    <pivotTable tabId="5" name="PivotTable5"/>
    <pivotTable tabId="9" name="PivotTable4"/>
    <pivotTable tabId="10" name="PivotTable5"/>
  </pivotTables>
  <data>
    <tabular pivotCacheId="153512799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trict" xr10:uid="{35BA9A10-B4D5-4450-A0A2-FDC6E13B558E}" cache="Slicer_District" caption="District" startItem="2" style="SlicerStyleLight4" rowHeight="360000"/>
  <slicer name="Category" xr10:uid="{8AEFFC3C-6FCF-4CDC-9730-A5BC66A6B953}" cache="Slicer_Category" caption="Category" startItem="1" style="SlicerStyleLight4" rowHeight="241300"/>
  <slicer name="Order_Status" xr10:uid="{0D85DEE9-8848-4505-8A49-0F35AE33E019}" cache="Slicer_Order_Status" caption="Order_Status" style="SlicerStyleLight4" rowHeight="241300"/>
  <slicer name="Payment_Method" xr10:uid="{48FE627C-B0DB-40D5-B98F-0B320928949C}" cache="Slicer_Payment_Method" caption="Payment_Method" startItem="1" style="SlicerStyleLight4" rowHeight="241300"/>
  <slicer name="Sales_Channel" xr10:uid="{4095D20A-B4DF-4065-9280-9E6597F35252}" cache="Slicer_Sales_Channel" caption="Sales_Channel"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4B374F-E197-4149-B889-017831AC195A}" name="Table1" displayName="Table1" ref="A1:W501" totalsRowShown="0" headerRowDxfId="26" headerRowBorderDxfId="25" tableBorderDxfId="24" totalsRowBorderDxfId="23">
  <autoFilter ref="A1:W501" xr:uid="{8A4B374F-E197-4149-B889-017831AC195A}"/>
  <tableColumns count="23">
    <tableColumn id="1" xr3:uid="{8265DA02-1179-421A-BD12-E29BBB9E5CF0}" name="Order_ID" dataDxfId="22"/>
    <tableColumn id="2" xr3:uid="{A1A80FE1-D8BB-466C-808D-C2D7B89956FA}" name="Customer_ID" dataDxfId="21"/>
    <tableColumn id="3" xr3:uid="{E87CF19D-1D7A-45BE-8440-DBB560F6BCED}" name="Order_Date" dataDxfId="20"/>
    <tableColumn id="4" xr3:uid="{238F04CF-2562-4A72-900A-BD35E357DA4C}" name="City" dataDxfId="19"/>
    <tableColumn id="5" xr3:uid="{1555F1BC-EA16-4309-A8E6-10F438369BBB}" name="District" dataDxfId="18"/>
    <tableColumn id="6" xr3:uid="{7B9D8672-9F18-447B-9D19-DC07046DFF7E}" name="Gender" dataDxfId="17"/>
    <tableColumn id="7" xr3:uid="{0A24EB3C-7F48-4359-B3F0-E7A1895A01DE}" name="Customer_Age" dataDxfId="16"/>
    <tableColumn id="8" xr3:uid="{E9F73533-7D34-493F-9B10-050CD35DEBD3}" name="Age_Group" dataDxfId="15"/>
    <tableColumn id="9" xr3:uid="{8A25649B-70FE-483B-95B3-E64F19964B48}" name="Category" dataDxfId="14"/>
    <tableColumn id="10" xr3:uid="{84125346-4037-4BAB-9127-286D26F65049}" name="Product" dataDxfId="13"/>
    <tableColumn id="11" xr3:uid="{5763B331-A2AA-42BA-81D8-55EEB9547E49}" name="Quantity" dataDxfId="12"/>
    <tableColumn id="12" xr3:uid="{0AC81941-4508-4B3E-919F-D4818357576F}" name="Unit_Price_INR" dataDxfId="11"/>
    <tableColumn id="13" xr3:uid="{E386007C-76B4-4633-BE72-88B991BCAC73}" name="Discount" dataDxfId="10"/>
    <tableColumn id="24" xr3:uid="{F72DDE5D-7BF1-4193-A0D8-E2D6E3131C9C}" name="Discount %" dataDxfId="9">
      <calculatedColumnFormula>Table1[[#This Row],[Discount]]/100</calculatedColumnFormula>
    </tableColumn>
    <tableColumn id="14" xr3:uid="{FC40F9D8-3BE2-4A61-B621-BA569821120E}" name="Discount_Amount_INR" dataDxfId="8"/>
    <tableColumn id="15" xr3:uid="{7B05F6B9-A9AC-4FE7-9078-C16DFB6B0D67}" name="Order_Value_INR" dataDxfId="7"/>
    <tableColumn id="16" xr3:uid="{B1FA3D8D-27DE-4B55-8D9A-C282D6934550}" name="Shipping_Charge_INR" dataDxfId="6"/>
    <tableColumn id="17" xr3:uid="{B03E2928-A965-44DF-8148-FF6D9316DD4C}" name="Total_Amount_INR" dataDxfId="5"/>
    <tableColumn id="18" xr3:uid="{59D10CF1-6285-4DD9-B6AE-BB53A2E4D6E5}" name="Payment_Method" dataDxfId="4"/>
    <tableColumn id="19" xr3:uid="{6C03E41F-E5CA-498C-B599-0241245A3752}" name="Sales_Channel" dataDxfId="3"/>
    <tableColumn id="20" xr3:uid="{4746F544-F194-4F06-A6AD-D6C4913B90C5}" name="Order_Status" dataDxfId="2"/>
    <tableColumn id="21" xr3:uid="{D732A9F2-CC8F-4D86-9682-4887E3B98C47}" name="Delivery_Days" dataDxfId="1"/>
    <tableColumn id="22" xr3:uid="{57C4B4AA-7073-4212-A95B-CCB60E051FF4}" name="Customer_Rating"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0C62BB2-F7BF-4E79-83F2-AEE70D6DA675}" sourceName="Order_Date">
  <pivotTables>
    <pivotTable tabId="9" name="PivotTable4"/>
  </pivotTables>
  <state minimalRefreshVersion="6" lastRefreshVersion="6" pivotCacheId="1535127990"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E77D0AAB-96DF-4A2A-AF28-37E498212AD1}" cache="NativeTimeline_Order_Date" caption="Order_Date" level="2" selectionLevel="2" scrollPosition="2026-05-18T00:00:00" style="TimeSlicerStyleLight4"/>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01"/>
  <sheetViews>
    <sheetView workbookViewId="0">
      <pane ySplit="1" topLeftCell="A2" activePane="bottomLeft" state="frozen"/>
      <selection activeCell="F1" sqref="F1"/>
      <selection pane="bottomLeft" activeCell="C25" sqref="A2:W501"/>
    </sheetView>
  </sheetViews>
  <sheetFormatPr defaultRowHeight="15" x14ac:dyDescent="0.25"/>
  <cols>
    <col min="1" max="1" width="11.28515625" style="1" bestFit="1" customWidth="1"/>
    <col min="2" max="2" width="14.5703125" style="1" customWidth="1"/>
    <col min="3" max="3" width="13.42578125" style="8" customWidth="1"/>
    <col min="4" max="5" width="13.85546875" style="1" bestFit="1" customWidth="1"/>
    <col min="6" max="6" width="9.85546875" style="1" customWidth="1"/>
    <col min="7" max="7" width="16.140625" style="1" customWidth="1"/>
    <col min="8" max="8" width="13.140625" style="1" customWidth="1"/>
    <col min="9" max="9" width="15.42578125" style="1" bestFit="1" customWidth="1"/>
    <col min="10" max="10" width="17.28515625" style="1" bestFit="1" customWidth="1"/>
    <col min="11" max="11" width="10.85546875" style="14" customWidth="1"/>
    <col min="12" max="12" width="16.5703125" style="1" customWidth="1"/>
    <col min="13" max="14" width="18.7109375" style="1" customWidth="1"/>
    <col min="15" max="15" width="23.140625" style="1" customWidth="1"/>
    <col min="16" max="16" width="18.5703125" style="1" customWidth="1"/>
    <col min="17" max="17" width="22.140625" style="1" customWidth="1"/>
    <col min="18" max="18" width="19.85546875" style="1" customWidth="1"/>
    <col min="19" max="19" width="19.140625" style="1" customWidth="1"/>
    <col min="20" max="20" width="16" style="1" customWidth="1"/>
    <col min="21" max="21" width="14.7109375" style="1" customWidth="1"/>
    <col min="22" max="22" width="15.7109375" style="11" customWidth="1"/>
    <col min="23" max="23" width="18.28515625" style="11" customWidth="1"/>
    <col min="24" max="16384" width="9.140625" style="1"/>
  </cols>
  <sheetData>
    <row r="1" spans="1:23" x14ac:dyDescent="0.25">
      <c r="A1" s="3" t="s">
        <v>0</v>
      </c>
      <c r="B1" s="4" t="s">
        <v>1</v>
      </c>
      <c r="C1" s="7" t="s">
        <v>2</v>
      </c>
      <c r="D1" s="4" t="s">
        <v>3</v>
      </c>
      <c r="E1" s="4" t="s">
        <v>4</v>
      </c>
      <c r="F1" s="4" t="s">
        <v>5</v>
      </c>
      <c r="G1" s="4" t="s">
        <v>6</v>
      </c>
      <c r="H1" s="4" t="s">
        <v>7</v>
      </c>
      <c r="I1" s="4" t="s">
        <v>8</v>
      </c>
      <c r="J1" s="4" t="s">
        <v>9</v>
      </c>
      <c r="K1" s="13" t="s">
        <v>10</v>
      </c>
      <c r="L1" s="4" t="s">
        <v>11</v>
      </c>
      <c r="M1" s="20" t="s">
        <v>810</v>
      </c>
      <c r="N1" s="21" t="s">
        <v>811</v>
      </c>
      <c r="O1" s="4" t="s">
        <v>12</v>
      </c>
      <c r="P1" s="4" t="s">
        <v>13</v>
      </c>
      <c r="Q1" s="4" t="s">
        <v>14</v>
      </c>
      <c r="R1" s="4" t="s">
        <v>15</v>
      </c>
      <c r="S1" s="4" t="s">
        <v>16</v>
      </c>
      <c r="T1" s="4" t="s">
        <v>17</v>
      </c>
      <c r="U1" s="4" t="s">
        <v>18</v>
      </c>
      <c r="V1" s="10" t="s">
        <v>19</v>
      </c>
      <c r="W1" s="17" t="s">
        <v>20</v>
      </c>
    </row>
    <row r="2" spans="1:23" x14ac:dyDescent="0.25">
      <c r="A2" s="2" t="s">
        <v>21</v>
      </c>
      <c r="B2" s="1" t="s">
        <v>22</v>
      </c>
      <c r="C2" s="8">
        <v>45674</v>
      </c>
      <c r="D2" s="1" t="s">
        <v>23</v>
      </c>
      <c r="E2" s="1" t="s">
        <v>23</v>
      </c>
      <c r="F2" s="1" t="s">
        <v>24</v>
      </c>
      <c r="G2" s="1">
        <v>23</v>
      </c>
      <c r="H2" s="1" t="s">
        <v>25</v>
      </c>
      <c r="I2" s="1" t="s">
        <v>26</v>
      </c>
      <c r="J2" s="1" t="s">
        <v>27</v>
      </c>
      <c r="K2" s="14">
        <v>3</v>
      </c>
      <c r="L2" s="1">
        <v>32898</v>
      </c>
      <c r="M2" s="1">
        <v>20</v>
      </c>
      <c r="N2" s="1">
        <f>Table1[[#This Row],[Discount]]/100</f>
        <v>0.2</v>
      </c>
      <c r="O2" s="1">
        <v>19738.8</v>
      </c>
      <c r="P2" s="1">
        <v>78955.199999999997</v>
      </c>
      <c r="Q2" s="1">
        <v>128</v>
      </c>
      <c r="R2" s="1">
        <v>79083.199999999997</v>
      </c>
      <c r="S2" s="1" t="s">
        <v>28</v>
      </c>
      <c r="T2" s="1" t="s">
        <v>29</v>
      </c>
      <c r="U2" s="1" t="s">
        <v>30</v>
      </c>
      <c r="V2" s="11">
        <v>1</v>
      </c>
      <c r="W2" s="18">
        <v>3.5</v>
      </c>
    </row>
    <row r="3" spans="1:23" x14ac:dyDescent="0.25">
      <c r="A3" s="2" t="s">
        <v>31</v>
      </c>
      <c r="B3" s="1" t="s">
        <v>32</v>
      </c>
      <c r="C3" s="8">
        <v>46015</v>
      </c>
      <c r="D3" s="1" t="s">
        <v>33</v>
      </c>
      <c r="E3" s="1" t="s">
        <v>33</v>
      </c>
      <c r="F3" s="1" t="s">
        <v>34</v>
      </c>
      <c r="G3" s="1">
        <v>39</v>
      </c>
      <c r="H3" s="1" t="s">
        <v>35</v>
      </c>
      <c r="I3" s="1" t="s">
        <v>36</v>
      </c>
      <c r="J3" s="1" t="s">
        <v>37</v>
      </c>
      <c r="K3" s="14">
        <v>4</v>
      </c>
      <c r="L3" s="1">
        <v>7521</v>
      </c>
      <c r="M3" s="1">
        <v>0</v>
      </c>
      <c r="N3" s="1">
        <f>Table1[[#This Row],[Discount]]/100</f>
        <v>0</v>
      </c>
      <c r="O3" s="1">
        <v>0</v>
      </c>
      <c r="P3" s="1">
        <v>30084</v>
      </c>
      <c r="Q3" s="1">
        <v>60</v>
      </c>
      <c r="R3" s="1">
        <v>30144</v>
      </c>
      <c r="S3" s="1" t="s">
        <v>38</v>
      </c>
      <c r="T3" s="1" t="s">
        <v>39</v>
      </c>
      <c r="U3" s="1" t="s">
        <v>40</v>
      </c>
      <c r="V3" s="11">
        <v>4</v>
      </c>
      <c r="W3" s="18"/>
    </row>
    <row r="4" spans="1:23" x14ac:dyDescent="0.25">
      <c r="A4" s="2" t="s">
        <v>41</v>
      </c>
      <c r="B4" s="1" t="s">
        <v>42</v>
      </c>
      <c r="C4" s="8">
        <v>45698</v>
      </c>
      <c r="D4" s="1" t="s">
        <v>43</v>
      </c>
      <c r="E4" s="1" t="s">
        <v>43</v>
      </c>
      <c r="F4" s="1" t="s">
        <v>44</v>
      </c>
      <c r="G4" s="1">
        <v>36</v>
      </c>
      <c r="H4" s="1" t="s">
        <v>25</v>
      </c>
      <c r="I4" s="1" t="s">
        <v>45</v>
      </c>
      <c r="J4" s="1" t="s">
        <v>46</v>
      </c>
      <c r="K4" s="14">
        <v>3</v>
      </c>
      <c r="L4" s="1">
        <v>257</v>
      </c>
      <c r="M4" s="1">
        <v>20</v>
      </c>
      <c r="N4" s="1">
        <f>Table1[[#This Row],[Discount]]/100</f>
        <v>0.2</v>
      </c>
      <c r="O4" s="1">
        <v>154.19999999999999</v>
      </c>
      <c r="P4" s="1">
        <v>616.79999999999995</v>
      </c>
      <c r="Q4" s="1">
        <v>116</v>
      </c>
      <c r="R4" s="1">
        <v>732.8</v>
      </c>
      <c r="S4" s="1" t="s">
        <v>47</v>
      </c>
      <c r="T4" s="1" t="s">
        <v>29</v>
      </c>
      <c r="U4" s="1" t="s">
        <v>30</v>
      </c>
      <c r="V4" s="11">
        <v>5</v>
      </c>
      <c r="W4" s="18">
        <v>5</v>
      </c>
    </row>
    <row r="5" spans="1:23" x14ac:dyDescent="0.25">
      <c r="A5" s="2" t="s">
        <v>48</v>
      </c>
      <c r="B5" s="1" t="s">
        <v>49</v>
      </c>
      <c r="C5" s="8">
        <v>45847</v>
      </c>
      <c r="D5" s="1" t="s">
        <v>43</v>
      </c>
      <c r="E5" s="1" t="s">
        <v>43</v>
      </c>
      <c r="F5" s="1" t="s">
        <v>44</v>
      </c>
      <c r="G5" s="1">
        <v>31</v>
      </c>
      <c r="H5" s="1" t="s">
        <v>50</v>
      </c>
      <c r="I5" s="1" t="s">
        <v>26</v>
      </c>
      <c r="J5" s="1" t="s">
        <v>51</v>
      </c>
      <c r="K5" s="14">
        <v>3</v>
      </c>
      <c r="L5" s="1">
        <v>11258</v>
      </c>
      <c r="M5" s="1">
        <v>25</v>
      </c>
      <c r="N5" s="1">
        <f>Table1[[#This Row],[Discount]]/100</f>
        <v>0.25</v>
      </c>
      <c r="O5" s="1">
        <v>8443.5</v>
      </c>
      <c r="P5" s="1">
        <v>25330.5</v>
      </c>
      <c r="Q5" s="1">
        <v>61</v>
      </c>
      <c r="R5" s="1">
        <v>25391.5</v>
      </c>
      <c r="S5" s="1" t="s">
        <v>52</v>
      </c>
      <c r="T5" s="1" t="s">
        <v>29</v>
      </c>
      <c r="U5" s="1" t="s">
        <v>53</v>
      </c>
      <c r="W5" s="18"/>
    </row>
    <row r="6" spans="1:23" x14ac:dyDescent="0.25">
      <c r="A6" s="2" t="s">
        <v>54</v>
      </c>
      <c r="B6" s="1" t="s">
        <v>55</v>
      </c>
      <c r="C6" s="8">
        <v>45686</v>
      </c>
      <c r="D6" s="1" t="s">
        <v>56</v>
      </c>
      <c r="E6" s="1" t="s">
        <v>56</v>
      </c>
      <c r="F6" s="1" t="s">
        <v>44</v>
      </c>
      <c r="G6" s="1">
        <v>20</v>
      </c>
      <c r="H6" s="1" t="s">
        <v>57</v>
      </c>
      <c r="I6" s="1" t="s">
        <v>58</v>
      </c>
      <c r="J6" s="1" t="s">
        <v>59</v>
      </c>
      <c r="K6" s="14">
        <v>2</v>
      </c>
      <c r="L6" s="1">
        <v>1049</v>
      </c>
      <c r="M6" s="1">
        <v>10</v>
      </c>
      <c r="N6" s="1">
        <f>Table1[[#This Row],[Discount]]/100</f>
        <v>0.1</v>
      </c>
      <c r="O6" s="1">
        <v>209.8</v>
      </c>
      <c r="P6" s="1">
        <v>1888.2</v>
      </c>
      <c r="Q6" s="1">
        <v>218</v>
      </c>
      <c r="R6" s="1">
        <v>2106.1999999999998</v>
      </c>
      <c r="S6" s="1" t="s">
        <v>38</v>
      </c>
      <c r="T6" s="1" t="s">
        <v>39</v>
      </c>
      <c r="U6" s="1" t="s">
        <v>53</v>
      </c>
      <c r="W6" s="18"/>
    </row>
    <row r="7" spans="1:23" x14ac:dyDescent="0.25">
      <c r="A7" s="2" t="s">
        <v>60</v>
      </c>
      <c r="B7" s="1" t="s">
        <v>61</v>
      </c>
      <c r="C7" s="8">
        <v>45792</v>
      </c>
      <c r="D7" s="1" t="s">
        <v>33</v>
      </c>
      <c r="E7" s="1" t="s">
        <v>33</v>
      </c>
      <c r="F7" s="1" t="s">
        <v>24</v>
      </c>
      <c r="G7" s="1">
        <v>55</v>
      </c>
      <c r="H7" s="1" t="s">
        <v>57</v>
      </c>
      <c r="I7" s="1" t="s">
        <v>58</v>
      </c>
      <c r="J7" s="1" t="s">
        <v>62</v>
      </c>
      <c r="K7" s="14">
        <v>2</v>
      </c>
      <c r="L7" s="1">
        <v>1234</v>
      </c>
      <c r="M7" s="1">
        <v>5</v>
      </c>
      <c r="N7" s="1">
        <f>Table1[[#This Row],[Discount]]/100</f>
        <v>0.05</v>
      </c>
      <c r="O7" s="1">
        <v>123.4</v>
      </c>
      <c r="P7" s="1">
        <v>2344.6</v>
      </c>
      <c r="Q7" s="1">
        <v>157</v>
      </c>
      <c r="R7" s="1">
        <v>2501.6</v>
      </c>
      <c r="S7" s="1" t="s">
        <v>38</v>
      </c>
      <c r="T7" s="1" t="s">
        <v>39</v>
      </c>
      <c r="U7" s="1" t="s">
        <v>40</v>
      </c>
      <c r="V7" s="11">
        <v>6</v>
      </c>
      <c r="W7" s="18"/>
    </row>
    <row r="8" spans="1:23" x14ac:dyDescent="0.25">
      <c r="A8" s="2" t="s">
        <v>63</v>
      </c>
      <c r="B8" s="1" t="s">
        <v>64</v>
      </c>
      <c r="C8" s="8">
        <v>45853</v>
      </c>
      <c r="D8" s="1" t="s">
        <v>56</v>
      </c>
      <c r="E8" s="1" t="s">
        <v>56</v>
      </c>
      <c r="F8" s="1" t="s">
        <v>24</v>
      </c>
      <c r="G8" s="1">
        <v>47</v>
      </c>
      <c r="H8" s="1" t="s">
        <v>50</v>
      </c>
      <c r="I8" s="1" t="s">
        <v>58</v>
      </c>
      <c r="J8" s="1" t="s">
        <v>65</v>
      </c>
      <c r="K8" s="14">
        <v>1</v>
      </c>
      <c r="L8" s="1">
        <v>3394</v>
      </c>
      <c r="M8" s="1">
        <v>15</v>
      </c>
      <c r="N8" s="1">
        <f>Table1[[#This Row],[Discount]]/100</f>
        <v>0.15</v>
      </c>
      <c r="O8" s="1">
        <v>509.1</v>
      </c>
      <c r="P8" s="1">
        <v>2884.9</v>
      </c>
      <c r="Q8" s="1">
        <v>118</v>
      </c>
      <c r="R8" s="1">
        <v>3002.9</v>
      </c>
      <c r="S8" s="1" t="s">
        <v>66</v>
      </c>
      <c r="T8" s="1" t="s">
        <v>29</v>
      </c>
      <c r="U8" s="1" t="s">
        <v>30</v>
      </c>
      <c r="V8" s="11">
        <v>5</v>
      </c>
      <c r="W8" s="18">
        <v>4.5</v>
      </c>
    </row>
    <row r="9" spans="1:23" x14ac:dyDescent="0.25">
      <c r="A9" s="2" t="s">
        <v>67</v>
      </c>
      <c r="B9" s="1" t="s">
        <v>68</v>
      </c>
      <c r="C9" s="8">
        <v>45792</v>
      </c>
      <c r="D9" s="1" t="s">
        <v>43</v>
      </c>
      <c r="E9" s="1" t="s">
        <v>43</v>
      </c>
      <c r="F9" s="1" t="s">
        <v>34</v>
      </c>
      <c r="G9" s="1">
        <v>29</v>
      </c>
      <c r="H9" s="1" t="s">
        <v>69</v>
      </c>
      <c r="I9" s="1" t="s">
        <v>36</v>
      </c>
      <c r="J9" s="1" t="s">
        <v>37</v>
      </c>
      <c r="K9" s="14">
        <v>3</v>
      </c>
      <c r="L9" s="1">
        <v>4116</v>
      </c>
      <c r="M9" s="1">
        <v>0</v>
      </c>
      <c r="N9" s="1">
        <f>Table1[[#This Row],[Discount]]/100</f>
        <v>0</v>
      </c>
      <c r="O9" s="1">
        <v>0</v>
      </c>
      <c r="P9" s="1">
        <v>12348</v>
      </c>
      <c r="Q9" s="1">
        <v>244</v>
      </c>
      <c r="R9" s="1">
        <v>12592</v>
      </c>
      <c r="S9" s="1" t="s">
        <v>66</v>
      </c>
      <c r="T9" s="1" t="s">
        <v>29</v>
      </c>
      <c r="U9" s="1" t="s">
        <v>70</v>
      </c>
      <c r="W9" s="18"/>
    </row>
    <row r="10" spans="1:23" x14ac:dyDescent="0.25">
      <c r="A10" s="2" t="s">
        <v>71</v>
      </c>
      <c r="B10" s="1" t="s">
        <v>72</v>
      </c>
      <c r="C10" s="8">
        <v>45815</v>
      </c>
      <c r="D10" s="1" t="s">
        <v>73</v>
      </c>
      <c r="E10" s="1" t="s">
        <v>73</v>
      </c>
      <c r="F10" s="1" t="s">
        <v>24</v>
      </c>
      <c r="G10" s="1">
        <v>21</v>
      </c>
      <c r="H10" s="1" t="s">
        <v>50</v>
      </c>
      <c r="I10" s="1" t="s">
        <v>74</v>
      </c>
      <c r="J10" s="1" t="s">
        <v>75</v>
      </c>
      <c r="K10" s="14">
        <v>3</v>
      </c>
      <c r="L10" s="1">
        <v>4818</v>
      </c>
      <c r="M10" s="1">
        <v>15</v>
      </c>
      <c r="N10" s="1">
        <f>Table1[[#This Row],[Discount]]/100</f>
        <v>0.15</v>
      </c>
      <c r="O10" s="1">
        <v>2168.1</v>
      </c>
      <c r="P10" s="1">
        <v>12285.9</v>
      </c>
      <c r="Q10" s="1">
        <v>112</v>
      </c>
      <c r="R10" s="1">
        <v>12397.9</v>
      </c>
      <c r="S10" s="1" t="s">
        <v>28</v>
      </c>
      <c r="T10" s="1" t="s">
        <v>29</v>
      </c>
      <c r="U10" s="1" t="s">
        <v>30</v>
      </c>
      <c r="V10" s="11">
        <v>2</v>
      </c>
      <c r="W10" s="18">
        <v>3.5</v>
      </c>
    </row>
    <row r="11" spans="1:23" x14ac:dyDescent="0.25">
      <c r="A11" s="2" t="s">
        <v>76</v>
      </c>
      <c r="B11" s="1" t="s">
        <v>77</v>
      </c>
      <c r="C11" s="8">
        <v>45766</v>
      </c>
      <c r="D11" s="1" t="s">
        <v>78</v>
      </c>
      <c r="E11" s="1" t="s">
        <v>78</v>
      </c>
      <c r="F11" s="1" t="s">
        <v>44</v>
      </c>
      <c r="G11" s="1">
        <v>30</v>
      </c>
      <c r="H11" s="1" t="s">
        <v>57</v>
      </c>
      <c r="I11" s="1" t="s">
        <v>26</v>
      </c>
      <c r="J11" s="1" t="s">
        <v>79</v>
      </c>
      <c r="K11" s="14">
        <v>2</v>
      </c>
      <c r="L11" s="1">
        <v>17628</v>
      </c>
      <c r="M11" s="1">
        <v>20</v>
      </c>
      <c r="N11" s="1">
        <f>Table1[[#This Row],[Discount]]/100</f>
        <v>0.2</v>
      </c>
      <c r="O11" s="1">
        <v>7051.2</v>
      </c>
      <c r="P11" s="1">
        <v>28204.799999999999</v>
      </c>
      <c r="Q11" s="1">
        <v>128</v>
      </c>
      <c r="R11" s="1">
        <v>28332.799999999999</v>
      </c>
      <c r="S11" s="1" t="s">
        <v>66</v>
      </c>
      <c r="T11" s="1" t="s">
        <v>29</v>
      </c>
      <c r="U11" s="1" t="s">
        <v>80</v>
      </c>
      <c r="W11" s="18"/>
    </row>
    <row r="12" spans="1:23" x14ac:dyDescent="0.25">
      <c r="A12" s="2" t="s">
        <v>81</v>
      </c>
      <c r="B12" s="1" t="s">
        <v>82</v>
      </c>
      <c r="C12" s="8">
        <v>45770</v>
      </c>
      <c r="D12" s="1" t="s">
        <v>83</v>
      </c>
      <c r="E12" s="1" t="s">
        <v>83</v>
      </c>
      <c r="F12" s="1" t="s">
        <v>34</v>
      </c>
      <c r="G12" s="1">
        <v>22</v>
      </c>
      <c r="H12" s="1" t="s">
        <v>35</v>
      </c>
      <c r="I12" s="1" t="s">
        <v>45</v>
      </c>
      <c r="J12" s="1" t="s">
        <v>84</v>
      </c>
      <c r="K12" s="14">
        <v>4</v>
      </c>
      <c r="L12" s="1">
        <v>342</v>
      </c>
      <c r="M12" s="1">
        <v>20</v>
      </c>
      <c r="N12" s="1">
        <f>Table1[[#This Row],[Discount]]/100</f>
        <v>0.2</v>
      </c>
      <c r="O12" s="1">
        <v>273.60000000000002</v>
      </c>
      <c r="P12" s="1">
        <v>1094.4000000000001</v>
      </c>
      <c r="Q12" s="1">
        <v>170</v>
      </c>
      <c r="R12" s="1">
        <v>1264.4000000000001</v>
      </c>
      <c r="S12" s="1" t="s">
        <v>28</v>
      </c>
      <c r="T12" s="1" t="s">
        <v>39</v>
      </c>
      <c r="U12" s="1" t="s">
        <v>30</v>
      </c>
      <c r="V12" s="11">
        <v>1</v>
      </c>
      <c r="W12" s="18">
        <v>5</v>
      </c>
    </row>
    <row r="13" spans="1:23" x14ac:dyDescent="0.25">
      <c r="A13" s="2" t="s">
        <v>85</v>
      </c>
      <c r="B13" s="1" t="s">
        <v>86</v>
      </c>
      <c r="C13" s="8">
        <v>45953</v>
      </c>
      <c r="D13" s="1" t="s">
        <v>87</v>
      </c>
      <c r="E13" s="1" t="s">
        <v>87</v>
      </c>
      <c r="F13" s="1" t="s">
        <v>44</v>
      </c>
      <c r="G13" s="1">
        <v>33</v>
      </c>
      <c r="H13" s="1" t="s">
        <v>57</v>
      </c>
      <c r="I13" s="1" t="s">
        <v>88</v>
      </c>
      <c r="J13" s="1" t="s">
        <v>89</v>
      </c>
      <c r="K13" s="14">
        <v>5</v>
      </c>
      <c r="L13" s="1">
        <v>8253</v>
      </c>
      <c r="M13" s="1">
        <v>25</v>
      </c>
      <c r="N13" s="1">
        <f>Table1[[#This Row],[Discount]]/100</f>
        <v>0.25</v>
      </c>
      <c r="O13" s="1">
        <v>10316.25</v>
      </c>
      <c r="P13" s="1">
        <v>30948.75</v>
      </c>
      <c r="Q13" s="1">
        <v>166</v>
      </c>
      <c r="R13" s="1">
        <v>31114.75</v>
      </c>
      <c r="S13" s="1" t="s">
        <v>47</v>
      </c>
      <c r="T13" s="1" t="s">
        <v>39</v>
      </c>
      <c r="U13" s="1" t="s">
        <v>70</v>
      </c>
      <c r="W13" s="18"/>
    </row>
    <row r="14" spans="1:23" x14ac:dyDescent="0.25">
      <c r="A14" s="2" t="s">
        <v>90</v>
      </c>
      <c r="B14" s="1" t="s">
        <v>91</v>
      </c>
      <c r="C14" s="8">
        <v>45831</v>
      </c>
      <c r="D14" s="1" t="s">
        <v>43</v>
      </c>
      <c r="E14" s="1" t="s">
        <v>43</v>
      </c>
      <c r="F14" s="1" t="s">
        <v>34</v>
      </c>
      <c r="G14" s="1">
        <v>24</v>
      </c>
      <c r="H14" s="1" t="s">
        <v>25</v>
      </c>
      <c r="I14" s="1" t="s">
        <v>36</v>
      </c>
      <c r="J14" s="1" t="s">
        <v>92</v>
      </c>
      <c r="K14" s="14">
        <v>3</v>
      </c>
      <c r="L14" s="1">
        <v>5753</v>
      </c>
      <c r="M14" s="1">
        <v>25</v>
      </c>
      <c r="N14" s="1">
        <f>Table1[[#This Row],[Discount]]/100</f>
        <v>0.25</v>
      </c>
      <c r="O14" s="1">
        <v>4314.75</v>
      </c>
      <c r="P14" s="1">
        <v>12944.25</v>
      </c>
      <c r="Q14" s="1">
        <v>123</v>
      </c>
      <c r="R14" s="1">
        <v>13067.25</v>
      </c>
      <c r="S14" s="1" t="s">
        <v>93</v>
      </c>
      <c r="T14" s="1" t="s">
        <v>39</v>
      </c>
      <c r="U14" s="1" t="s">
        <v>30</v>
      </c>
      <c r="V14" s="11">
        <v>7</v>
      </c>
      <c r="W14" s="18">
        <v>3.5</v>
      </c>
    </row>
    <row r="15" spans="1:23" x14ac:dyDescent="0.25">
      <c r="A15" s="2" t="s">
        <v>94</v>
      </c>
      <c r="B15" s="1" t="s">
        <v>95</v>
      </c>
      <c r="C15" s="8">
        <v>45665</v>
      </c>
      <c r="D15" s="1" t="s">
        <v>96</v>
      </c>
      <c r="E15" s="1" t="s">
        <v>96</v>
      </c>
      <c r="F15" s="1" t="s">
        <v>44</v>
      </c>
      <c r="G15" s="1">
        <v>33</v>
      </c>
      <c r="H15" s="1" t="s">
        <v>57</v>
      </c>
      <c r="I15" s="1" t="s">
        <v>74</v>
      </c>
      <c r="J15" s="1" t="s">
        <v>97</v>
      </c>
      <c r="K15" s="14">
        <v>4</v>
      </c>
      <c r="L15" s="1">
        <v>1017</v>
      </c>
      <c r="M15" s="1">
        <v>25</v>
      </c>
      <c r="N15" s="1">
        <f>Table1[[#This Row],[Discount]]/100</f>
        <v>0.25</v>
      </c>
      <c r="O15" s="1">
        <v>1017</v>
      </c>
      <c r="P15" s="1">
        <v>3051</v>
      </c>
      <c r="Q15" s="1">
        <v>234</v>
      </c>
      <c r="R15" s="1">
        <v>3285</v>
      </c>
      <c r="S15" s="1" t="s">
        <v>93</v>
      </c>
      <c r="T15" s="1" t="s">
        <v>39</v>
      </c>
      <c r="U15" s="1" t="s">
        <v>70</v>
      </c>
      <c r="W15" s="18"/>
    </row>
    <row r="16" spans="1:23" x14ac:dyDescent="0.25">
      <c r="A16" s="2" t="s">
        <v>98</v>
      </c>
      <c r="B16" s="1" t="s">
        <v>99</v>
      </c>
      <c r="C16" s="8">
        <v>45942</v>
      </c>
      <c r="D16" s="1" t="s">
        <v>87</v>
      </c>
      <c r="E16" s="1" t="s">
        <v>87</v>
      </c>
      <c r="F16" s="1" t="s">
        <v>44</v>
      </c>
      <c r="G16" s="1">
        <v>49</v>
      </c>
      <c r="H16" s="1" t="s">
        <v>35</v>
      </c>
      <c r="I16" s="1" t="s">
        <v>45</v>
      </c>
      <c r="J16" s="1" t="s">
        <v>46</v>
      </c>
      <c r="K16" s="14">
        <v>2</v>
      </c>
      <c r="L16" s="1">
        <v>1166</v>
      </c>
      <c r="M16" s="1">
        <v>15</v>
      </c>
      <c r="N16" s="1">
        <f>Table1[[#This Row],[Discount]]/100</f>
        <v>0.15</v>
      </c>
      <c r="O16" s="1">
        <v>349.8</v>
      </c>
      <c r="P16" s="1">
        <v>1982.2</v>
      </c>
      <c r="Q16" s="1">
        <v>198</v>
      </c>
      <c r="R16" s="1">
        <v>2180.1999999999998</v>
      </c>
      <c r="S16" s="1" t="s">
        <v>28</v>
      </c>
      <c r="T16" s="1" t="s">
        <v>29</v>
      </c>
      <c r="U16" s="1" t="s">
        <v>30</v>
      </c>
      <c r="V16" s="11">
        <v>6</v>
      </c>
      <c r="W16" s="18">
        <v>3.5</v>
      </c>
    </row>
    <row r="17" spans="1:23" x14ac:dyDescent="0.25">
      <c r="A17" s="2" t="s">
        <v>100</v>
      </c>
      <c r="B17" s="1" t="s">
        <v>101</v>
      </c>
      <c r="C17" s="8">
        <v>45699</v>
      </c>
      <c r="D17" s="1" t="s">
        <v>102</v>
      </c>
      <c r="E17" s="1" t="s">
        <v>103</v>
      </c>
      <c r="F17" s="1" t="s">
        <v>34</v>
      </c>
      <c r="G17" s="1">
        <v>29</v>
      </c>
      <c r="H17" s="1" t="s">
        <v>35</v>
      </c>
      <c r="I17" s="1" t="s">
        <v>58</v>
      </c>
      <c r="J17" s="1" t="s">
        <v>104</v>
      </c>
      <c r="K17" s="14">
        <v>3</v>
      </c>
      <c r="L17" s="1">
        <v>2209</v>
      </c>
      <c r="M17" s="1">
        <v>20</v>
      </c>
      <c r="N17" s="1">
        <f>Table1[[#This Row],[Discount]]/100</f>
        <v>0.2</v>
      </c>
      <c r="O17" s="1">
        <v>1325.4</v>
      </c>
      <c r="P17" s="1">
        <v>5301.6</v>
      </c>
      <c r="Q17" s="1">
        <v>150</v>
      </c>
      <c r="R17" s="1">
        <v>5451.6</v>
      </c>
      <c r="S17" s="1" t="s">
        <v>93</v>
      </c>
      <c r="T17" s="1" t="s">
        <v>39</v>
      </c>
      <c r="U17" s="1" t="s">
        <v>30</v>
      </c>
      <c r="V17" s="11">
        <v>7</v>
      </c>
      <c r="W17" s="18">
        <v>3</v>
      </c>
    </row>
    <row r="18" spans="1:23" x14ac:dyDescent="0.25">
      <c r="A18" s="2" t="s">
        <v>105</v>
      </c>
      <c r="B18" s="1" t="s">
        <v>106</v>
      </c>
      <c r="C18" s="8">
        <v>45762</v>
      </c>
      <c r="D18" s="1" t="s">
        <v>107</v>
      </c>
      <c r="E18" s="1" t="s">
        <v>107</v>
      </c>
      <c r="F18" s="1" t="s">
        <v>44</v>
      </c>
      <c r="G18" s="1">
        <v>38</v>
      </c>
      <c r="H18" s="1" t="s">
        <v>35</v>
      </c>
      <c r="I18" s="1" t="s">
        <v>58</v>
      </c>
      <c r="J18" s="1" t="s">
        <v>59</v>
      </c>
      <c r="K18" s="14">
        <v>5</v>
      </c>
      <c r="L18" s="1">
        <v>2842</v>
      </c>
      <c r="M18" s="1">
        <v>20</v>
      </c>
      <c r="N18" s="1">
        <f>Table1[[#This Row],[Discount]]/100</f>
        <v>0.2</v>
      </c>
      <c r="O18" s="1">
        <v>2842</v>
      </c>
      <c r="P18" s="1">
        <v>11368</v>
      </c>
      <c r="Q18" s="1">
        <v>86</v>
      </c>
      <c r="R18" s="1">
        <v>11454</v>
      </c>
      <c r="S18" s="1" t="s">
        <v>66</v>
      </c>
      <c r="T18" s="1" t="s">
        <v>29</v>
      </c>
      <c r="U18" s="1" t="s">
        <v>30</v>
      </c>
      <c r="V18" s="11">
        <v>6</v>
      </c>
      <c r="W18" s="18">
        <v>3.5</v>
      </c>
    </row>
    <row r="19" spans="1:23" x14ac:dyDescent="0.25">
      <c r="A19" s="2" t="s">
        <v>108</v>
      </c>
      <c r="B19" s="1" t="s">
        <v>109</v>
      </c>
      <c r="C19" s="8">
        <v>45836</v>
      </c>
      <c r="D19" s="1" t="s">
        <v>110</v>
      </c>
      <c r="E19" s="1" t="s">
        <v>110</v>
      </c>
      <c r="F19" s="1" t="s">
        <v>34</v>
      </c>
      <c r="G19" s="1">
        <v>33</v>
      </c>
      <c r="H19" s="1" t="s">
        <v>57</v>
      </c>
      <c r="I19" s="1" t="s">
        <v>45</v>
      </c>
      <c r="J19" s="1" t="s">
        <v>111</v>
      </c>
      <c r="K19" s="14">
        <v>1</v>
      </c>
      <c r="L19" s="1">
        <v>489</v>
      </c>
      <c r="M19" s="1">
        <v>5</v>
      </c>
      <c r="N19" s="1">
        <f>Table1[[#This Row],[Discount]]/100</f>
        <v>0.05</v>
      </c>
      <c r="O19" s="1">
        <v>24.45</v>
      </c>
      <c r="P19" s="1">
        <v>464.55</v>
      </c>
      <c r="Q19" s="1">
        <v>53</v>
      </c>
      <c r="R19" s="1">
        <v>517.54999999999995</v>
      </c>
      <c r="S19" s="1" t="s">
        <v>52</v>
      </c>
      <c r="T19" s="1" t="s">
        <v>29</v>
      </c>
      <c r="U19" s="1" t="s">
        <v>30</v>
      </c>
      <c r="V19" s="11">
        <v>1</v>
      </c>
      <c r="W19" s="18">
        <v>4</v>
      </c>
    </row>
    <row r="20" spans="1:23" x14ac:dyDescent="0.25">
      <c r="A20" s="2" t="s">
        <v>112</v>
      </c>
      <c r="B20" s="1" t="s">
        <v>113</v>
      </c>
      <c r="C20" s="8">
        <v>45797</v>
      </c>
      <c r="D20" s="1" t="s">
        <v>110</v>
      </c>
      <c r="E20" s="1" t="s">
        <v>110</v>
      </c>
      <c r="F20" s="1" t="s">
        <v>24</v>
      </c>
      <c r="G20" s="1">
        <v>56</v>
      </c>
      <c r="H20" s="1" t="s">
        <v>69</v>
      </c>
      <c r="I20" s="1" t="s">
        <v>58</v>
      </c>
      <c r="J20" s="1" t="s">
        <v>114</v>
      </c>
      <c r="K20" s="14">
        <v>1</v>
      </c>
      <c r="L20" s="1">
        <v>1233</v>
      </c>
      <c r="M20" s="1">
        <v>0</v>
      </c>
      <c r="N20" s="1">
        <f>Table1[[#This Row],[Discount]]/100</f>
        <v>0</v>
      </c>
      <c r="O20" s="1">
        <v>0</v>
      </c>
      <c r="P20" s="1">
        <v>1233</v>
      </c>
      <c r="Q20" s="1">
        <v>59</v>
      </c>
      <c r="R20" s="1">
        <v>1292</v>
      </c>
      <c r="S20" s="1" t="s">
        <v>47</v>
      </c>
      <c r="T20" s="1" t="s">
        <v>29</v>
      </c>
      <c r="U20" s="1" t="s">
        <v>40</v>
      </c>
      <c r="V20" s="11">
        <v>3</v>
      </c>
      <c r="W20" s="18"/>
    </row>
    <row r="21" spans="1:23" x14ac:dyDescent="0.25">
      <c r="A21" s="2" t="s">
        <v>115</v>
      </c>
      <c r="B21" s="1" t="s">
        <v>116</v>
      </c>
      <c r="C21" s="8">
        <v>45724</v>
      </c>
      <c r="D21" s="1" t="s">
        <v>23</v>
      </c>
      <c r="E21" s="1" t="s">
        <v>23</v>
      </c>
      <c r="F21" s="1" t="s">
        <v>44</v>
      </c>
      <c r="G21" s="1">
        <v>34</v>
      </c>
      <c r="H21" s="1" t="s">
        <v>25</v>
      </c>
      <c r="I21" s="1" t="s">
        <v>88</v>
      </c>
      <c r="J21" s="1" t="s">
        <v>117</v>
      </c>
      <c r="K21" s="14">
        <v>4</v>
      </c>
      <c r="L21" s="1">
        <v>1812</v>
      </c>
      <c r="M21" s="1">
        <v>0</v>
      </c>
      <c r="N21" s="1">
        <f>Table1[[#This Row],[Discount]]/100</f>
        <v>0</v>
      </c>
      <c r="O21" s="1">
        <v>0</v>
      </c>
      <c r="P21" s="1">
        <v>7248</v>
      </c>
      <c r="Q21" s="1">
        <v>217</v>
      </c>
      <c r="R21" s="1">
        <v>7465</v>
      </c>
      <c r="S21" s="1" t="s">
        <v>66</v>
      </c>
      <c r="T21" s="1" t="s">
        <v>118</v>
      </c>
      <c r="U21" s="1" t="s">
        <v>30</v>
      </c>
      <c r="V21" s="11">
        <v>6</v>
      </c>
      <c r="W21" s="18">
        <v>3.5</v>
      </c>
    </row>
    <row r="22" spans="1:23" x14ac:dyDescent="0.25">
      <c r="A22" s="2" t="s">
        <v>119</v>
      </c>
      <c r="B22" s="1" t="s">
        <v>113</v>
      </c>
      <c r="C22" s="8">
        <v>45815</v>
      </c>
      <c r="D22" s="1" t="s">
        <v>120</v>
      </c>
      <c r="E22" s="1" t="s">
        <v>120</v>
      </c>
      <c r="F22" s="1" t="s">
        <v>24</v>
      </c>
      <c r="G22" s="1">
        <v>20</v>
      </c>
      <c r="H22" s="1" t="s">
        <v>35</v>
      </c>
      <c r="I22" s="1" t="s">
        <v>26</v>
      </c>
      <c r="J22" s="1" t="s">
        <v>27</v>
      </c>
      <c r="K22" s="14">
        <v>1</v>
      </c>
      <c r="L22" s="1">
        <v>20336</v>
      </c>
      <c r="M22" s="1">
        <v>5</v>
      </c>
      <c r="N22" s="1">
        <f>Table1[[#This Row],[Discount]]/100</f>
        <v>0.05</v>
      </c>
      <c r="O22" s="1">
        <v>1016.8</v>
      </c>
      <c r="P22" s="1">
        <v>19319.2</v>
      </c>
      <c r="Q22" s="1">
        <v>30</v>
      </c>
      <c r="R22" s="1">
        <v>19349.2</v>
      </c>
      <c r="S22" s="1" t="s">
        <v>66</v>
      </c>
      <c r="T22" s="1" t="s">
        <v>39</v>
      </c>
      <c r="U22" s="1" t="s">
        <v>30</v>
      </c>
      <c r="V22" s="11">
        <v>3</v>
      </c>
      <c r="W22" s="18">
        <v>4</v>
      </c>
    </row>
    <row r="23" spans="1:23" x14ac:dyDescent="0.25">
      <c r="A23" s="2" t="s">
        <v>121</v>
      </c>
      <c r="B23" s="1" t="s">
        <v>122</v>
      </c>
      <c r="C23" s="8">
        <v>45868</v>
      </c>
      <c r="D23" s="1" t="s">
        <v>83</v>
      </c>
      <c r="E23" s="1" t="s">
        <v>83</v>
      </c>
      <c r="F23" s="1" t="s">
        <v>34</v>
      </c>
      <c r="G23" s="1">
        <v>60</v>
      </c>
      <c r="H23" s="1" t="s">
        <v>69</v>
      </c>
      <c r="I23" s="1" t="s">
        <v>58</v>
      </c>
      <c r="J23" s="1" t="s">
        <v>65</v>
      </c>
      <c r="K23" s="14">
        <v>5</v>
      </c>
      <c r="L23" s="1">
        <v>3760</v>
      </c>
      <c r="M23" s="1">
        <v>0</v>
      </c>
      <c r="N23" s="1">
        <f>Table1[[#This Row],[Discount]]/100</f>
        <v>0</v>
      </c>
      <c r="O23" s="1">
        <v>0</v>
      </c>
      <c r="P23" s="1">
        <v>18800</v>
      </c>
      <c r="Q23" s="1">
        <v>105</v>
      </c>
      <c r="R23" s="1">
        <v>18905</v>
      </c>
      <c r="S23" s="1" t="s">
        <v>47</v>
      </c>
      <c r="T23" s="1" t="s">
        <v>29</v>
      </c>
      <c r="U23" s="1" t="s">
        <v>30</v>
      </c>
      <c r="V23" s="11">
        <v>7</v>
      </c>
      <c r="W23" s="18">
        <v>5</v>
      </c>
    </row>
    <row r="24" spans="1:23" x14ac:dyDescent="0.25">
      <c r="A24" s="2" t="s">
        <v>123</v>
      </c>
      <c r="B24" s="1" t="s">
        <v>124</v>
      </c>
      <c r="C24" s="8">
        <v>45756</v>
      </c>
      <c r="D24" s="1" t="s">
        <v>43</v>
      </c>
      <c r="E24" s="1" t="s">
        <v>43</v>
      </c>
      <c r="F24" s="1" t="s">
        <v>34</v>
      </c>
      <c r="G24" s="1">
        <v>39</v>
      </c>
      <c r="H24" s="1" t="s">
        <v>69</v>
      </c>
      <c r="I24" s="1" t="s">
        <v>45</v>
      </c>
      <c r="J24" s="1" t="s">
        <v>46</v>
      </c>
      <c r="K24" s="14">
        <v>4</v>
      </c>
      <c r="L24" s="1">
        <v>1512</v>
      </c>
      <c r="M24" s="1">
        <v>5</v>
      </c>
      <c r="N24" s="1">
        <f>Table1[[#This Row],[Discount]]/100</f>
        <v>0.05</v>
      </c>
      <c r="O24" s="1">
        <v>302.39999999999998</v>
      </c>
      <c r="P24" s="1">
        <v>5745.6</v>
      </c>
      <c r="Q24" s="1">
        <v>188</v>
      </c>
      <c r="R24" s="1">
        <v>5933.6</v>
      </c>
      <c r="S24" s="1" t="s">
        <v>38</v>
      </c>
      <c r="T24" s="1" t="s">
        <v>29</v>
      </c>
      <c r="U24" s="1" t="s">
        <v>30</v>
      </c>
      <c r="V24" s="11">
        <v>4</v>
      </c>
      <c r="W24" s="18">
        <v>4</v>
      </c>
    </row>
    <row r="25" spans="1:23" x14ac:dyDescent="0.25">
      <c r="A25" s="2" t="s">
        <v>125</v>
      </c>
      <c r="B25" s="1" t="s">
        <v>126</v>
      </c>
      <c r="C25" s="8">
        <v>45834</v>
      </c>
      <c r="D25" s="1" t="s">
        <v>120</v>
      </c>
      <c r="E25" s="1" t="s">
        <v>120</v>
      </c>
      <c r="F25" s="1" t="s">
        <v>24</v>
      </c>
      <c r="G25" s="1">
        <v>38</v>
      </c>
      <c r="H25" s="1" t="s">
        <v>50</v>
      </c>
      <c r="I25" s="1" t="s">
        <v>45</v>
      </c>
      <c r="J25" s="1" t="s">
        <v>84</v>
      </c>
      <c r="K25" s="14">
        <v>3</v>
      </c>
      <c r="L25" s="1">
        <v>811</v>
      </c>
      <c r="M25" s="1">
        <v>0</v>
      </c>
      <c r="N25" s="1">
        <f>Table1[[#This Row],[Discount]]/100</f>
        <v>0</v>
      </c>
      <c r="O25" s="1">
        <v>0</v>
      </c>
      <c r="P25" s="1">
        <v>2433</v>
      </c>
      <c r="Q25" s="1">
        <v>131</v>
      </c>
      <c r="R25" s="1">
        <v>2564</v>
      </c>
      <c r="S25" s="1" t="s">
        <v>93</v>
      </c>
      <c r="T25" s="1" t="s">
        <v>29</v>
      </c>
      <c r="U25" s="1" t="s">
        <v>30</v>
      </c>
      <c r="V25" s="11">
        <v>6</v>
      </c>
      <c r="W25" s="18">
        <v>4</v>
      </c>
    </row>
    <row r="26" spans="1:23" x14ac:dyDescent="0.25">
      <c r="A26" s="2" t="s">
        <v>127</v>
      </c>
      <c r="B26" s="1" t="s">
        <v>128</v>
      </c>
      <c r="C26" s="8">
        <v>45977</v>
      </c>
      <c r="D26" s="1" t="s">
        <v>33</v>
      </c>
      <c r="E26" s="1" t="s">
        <v>33</v>
      </c>
      <c r="F26" s="1" t="s">
        <v>34</v>
      </c>
      <c r="G26" s="1">
        <v>60</v>
      </c>
      <c r="H26" s="1" t="s">
        <v>69</v>
      </c>
      <c r="I26" s="1" t="s">
        <v>88</v>
      </c>
      <c r="J26" s="1" t="s">
        <v>89</v>
      </c>
      <c r="K26" s="14">
        <v>4</v>
      </c>
      <c r="L26" s="1">
        <v>9121</v>
      </c>
      <c r="M26" s="1">
        <v>0</v>
      </c>
      <c r="N26" s="1">
        <f>Table1[[#This Row],[Discount]]/100</f>
        <v>0</v>
      </c>
      <c r="O26" s="1">
        <v>0</v>
      </c>
      <c r="P26" s="1">
        <v>36484</v>
      </c>
      <c r="Q26" s="1">
        <v>104</v>
      </c>
      <c r="R26" s="1">
        <v>36588</v>
      </c>
      <c r="S26" s="1" t="s">
        <v>52</v>
      </c>
      <c r="T26" s="1" t="s">
        <v>118</v>
      </c>
      <c r="U26" s="1" t="s">
        <v>70</v>
      </c>
      <c r="W26" s="18"/>
    </row>
    <row r="27" spans="1:23" x14ac:dyDescent="0.25">
      <c r="A27" s="2" t="s">
        <v>129</v>
      </c>
      <c r="B27" s="1" t="s">
        <v>130</v>
      </c>
      <c r="C27" s="8">
        <v>45973</v>
      </c>
      <c r="D27" s="1" t="s">
        <v>23</v>
      </c>
      <c r="E27" s="1" t="s">
        <v>23</v>
      </c>
      <c r="F27" s="1" t="s">
        <v>24</v>
      </c>
      <c r="G27" s="1">
        <v>37</v>
      </c>
      <c r="H27" s="1" t="s">
        <v>50</v>
      </c>
      <c r="I27" s="1" t="s">
        <v>45</v>
      </c>
      <c r="J27" s="1" t="s">
        <v>111</v>
      </c>
      <c r="K27" s="14">
        <v>4</v>
      </c>
      <c r="L27" s="1">
        <v>865</v>
      </c>
      <c r="M27" s="1">
        <v>15</v>
      </c>
      <c r="N27" s="1">
        <f>Table1[[#This Row],[Discount]]/100</f>
        <v>0.15</v>
      </c>
      <c r="O27" s="1">
        <v>519</v>
      </c>
      <c r="P27" s="1">
        <v>2941</v>
      </c>
      <c r="Q27" s="1">
        <v>64</v>
      </c>
      <c r="R27" s="1">
        <v>3005</v>
      </c>
      <c r="S27" s="1" t="s">
        <v>38</v>
      </c>
      <c r="T27" s="1" t="s">
        <v>118</v>
      </c>
      <c r="U27" s="1" t="s">
        <v>40</v>
      </c>
      <c r="V27" s="11">
        <v>5</v>
      </c>
      <c r="W27" s="18"/>
    </row>
    <row r="28" spans="1:23" x14ac:dyDescent="0.25">
      <c r="A28" s="2" t="s">
        <v>131</v>
      </c>
      <c r="B28" s="1" t="s">
        <v>132</v>
      </c>
      <c r="C28" s="8">
        <v>45744</v>
      </c>
      <c r="D28" s="1" t="s">
        <v>33</v>
      </c>
      <c r="E28" s="1" t="s">
        <v>33</v>
      </c>
      <c r="F28" s="1" t="s">
        <v>24</v>
      </c>
      <c r="G28" s="1">
        <v>23</v>
      </c>
      <c r="H28" s="1" t="s">
        <v>25</v>
      </c>
      <c r="I28" s="1" t="s">
        <v>45</v>
      </c>
      <c r="J28" s="1" t="s">
        <v>84</v>
      </c>
      <c r="K28" s="14">
        <v>5</v>
      </c>
      <c r="L28" s="1">
        <v>1891</v>
      </c>
      <c r="M28" s="1">
        <v>20</v>
      </c>
      <c r="N28" s="1">
        <f>Table1[[#This Row],[Discount]]/100</f>
        <v>0.2</v>
      </c>
      <c r="O28" s="1">
        <v>1891</v>
      </c>
      <c r="P28" s="1">
        <v>7564</v>
      </c>
      <c r="Q28" s="1">
        <v>250</v>
      </c>
      <c r="R28" s="1">
        <v>7814</v>
      </c>
      <c r="S28" s="1" t="s">
        <v>38</v>
      </c>
      <c r="T28" s="1" t="s">
        <v>39</v>
      </c>
      <c r="U28" s="1" t="s">
        <v>30</v>
      </c>
      <c r="V28" s="11">
        <v>6</v>
      </c>
      <c r="W28" s="18">
        <v>4</v>
      </c>
    </row>
    <row r="29" spans="1:23" x14ac:dyDescent="0.25">
      <c r="A29" s="2" t="s">
        <v>133</v>
      </c>
      <c r="B29" s="1" t="s">
        <v>134</v>
      </c>
      <c r="C29" s="8">
        <v>45891</v>
      </c>
      <c r="D29" s="1" t="s">
        <v>87</v>
      </c>
      <c r="E29" s="1" t="s">
        <v>87</v>
      </c>
      <c r="F29" s="1" t="s">
        <v>34</v>
      </c>
      <c r="G29" s="1">
        <v>58</v>
      </c>
      <c r="H29" s="1" t="s">
        <v>57</v>
      </c>
      <c r="I29" s="1" t="s">
        <v>74</v>
      </c>
      <c r="J29" s="1" t="s">
        <v>97</v>
      </c>
      <c r="K29" s="14">
        <v>2</v>
      </c>
      <c r="L29" s="1">
        <v>1607</v>
      </c>
      <c r="M29" s="1">
        <v>20</v>
      </c>
      <c r="N29" s="1">
        <f>Table1[[#This Row],[Discount]]/100</f>
        <v>0.2</v>
      </c>
      <c r="O29" s="1">
        <v>642.79999999999995</v>
      </c>
      <c r="P29" s="1">
        <v>2571.1999999999998</v>
      </c>
      <c r="Q29" s="1">
        <v>38</v>
      </c>
      <c r="R29" s="1">
        <v>2609.1999999999998</v>
      </c>
      <c r="S29" s="1" t="s">
        <v>93</v>
      </c>
      <c r="T29" s="1" t="s">
        <v>118</v>
      </c>
      <c r="U29" s="1" t="s">
        <v>53</v>
      </c>
      <c r="W29" s="18"/>
    </row>
    <row r="30" spans="1:23" x14ac:dyDescent="0.25">
      <c r="A30" s="2" t="s">
        <v>135</v>
      </c>
      <c r="B30" s="1" t="s">
        <v>136</v>
      </c>
      <c r="C30" s="8">
        <v>45720</v>
      </c>
      <c r="D30" s="1" t="s">
        <v>33</v>
      </c>
      <c r="E30" s="1" t="s">
        <v>33</v>
      </c>
      <c r="F30" s="1" t="s">
        <v>24</v>
      </c>
      <c r="G30" s="1">
        <v>26</v>
      </c>
      <c r="H30" s="1" t="s">
        <v>25</v>
      </c>
      <c r="I30" s="1" t="s">
        <v>74</v>
      </c>
      <c r="J30" s="1" t="s">
        <v>137</v>
      </c>
      <c r="K30" s="14">
        <v>1</v>
      </c>
      <c r="L30" s="1">
        <v>2192</v>
      </c>
      <c r="M30" s="1">
        <v>20</v>
      </c>
      <c r="N30" s="1">
        <f>Table1[[#This Row],[Discount]]/100</f>
        <v>0.2</v>
      </c>
      <c r="O30" s="1">
        <v>438.4</v>
      </c>
      <c r="P30" s="1">
        <v>1753.6</v>
      </c>
      <c r="Q30" s="1">
        <v>237</v>
      </c>
      <c r="R30" s="1">
        <v>1990.6</v>
      </c>
      <c r="S30" s="1" t="s">
        <v>52</v>
      </c>
      <c r="T30" s="1" t="s">
        <v>118</v>
      </c>
      <c r="U30" s="1" t="s">
        <v>30</v>
      </c>
      <c r="V30" s="11">
        <v>4</v>
      </c>
      <c r="W30" s="18">
        <v>4</v>
      </c>
    </row>
    <row r="31" spans="1:23" x14ac:dyDescent="0.25">
      <c r="A31" s="2" t="s">
        <v>138</v>
      </c>
      <c r="B31" s="1" t="s">
        <v>139</v>
      </c>
      <c r="C31" s="8">
        <v>45784</v>
      </c>
      <c r="D31" s="1" t="s">
        <v>140</v>
      </c>
      <c r="E31" s="1" t="s">
        <v>141</v>
      </c>
      <c r="F31" s="1" t="s">
        <v>24</v>
      </c>
      <c r="G31" s="1">
        <v>58</v>
      </c>
      <c r="H31" s="1" t="s">
        <v>57</v>
      </c>
      <c r="I31" s="1" t="s">
        <v>45</v>
      </c>
      <c r="J31" s="1" t="s">
        <v>84</v>
      </c>
      <c r="K31" s="14">
        <v>5</v>
      </c>
      <c r="L31" s="1">
        <v>731</v>
      </c>
      <c r="M31" s="1">
        <v>15</v>
      </c>
      <c r="N31" s="1">
        <f>Table1[[#This Row],[Discount]]/100</f>
        <v>0.15</v>
      </c>
      <c r="O31" s="1">
        <v>548.25</v>
      </c>
      <c r="P31" s="1">
        <v>3106.75</v>
      </c>
      <c r="Q31" s="1">
        <v>212</v>
      </c>
      <c r="R31" s="1">
        <v>3318.75</v>
      </c>
      <c r="S31" s="1" t="s">
        <v>66</v>
      </c>
      <c r="T31" s="1" t="s">
        <v>39</v>
      </c>
      <c r="U31" s="1" t="s">
        <v>30</v>
      </c>
      <c r="V31" s="11">
        <v>7</v>
      </c>
      <c r="W31" s="18">
        <v>4</v>
      </c>
    </row>
    <row r="32" spans="1:23" x14ac:dyDescent="0.25">
      <c r="A32" s="2" t="s">
        <v>142</v>
      </c>
      <c r="B32" s="1" t="s">
        <v>143</v>
      </c>
      <c r="C32" s="8">
        <v>45854</v>
      </c>
      <c r="D32" s="1" t="s">
        <v>110</v>
      </c>
      <c r="E32" s="1" t="s">
        <v>110</v>
      </c>
      <c r="F32" s="1" t="s">
        <v>34</v>
      </c>
      <c r="G32" s="1">
        <v>27</v>
      </c>
      <c r="H32" s="1" t="s">
        <v>57</v>
      </c>
      <c r="I32" s="1" t="s">
        <v>45</v>
      </c>
      <c r="J32" s="1" t="s">
        <v>46</v>
      </c>
      <c r="K32" s="14">
        <v>3</v>
      </c>
      <c r="L32" s="1">
        <v>1389</v>
      </c>
      <c r="M32" s="1">
        <v>0</v>
      </c>
      <c r="N32" s="1">
        <f>Table1[[#This Row],[Discount]]/100</f>
        <v>0</v>
      </c>
      <c r="O32" s="1">
        <v>0</v>
      </c>
      <c r="P32" s="1">
        <v>4167</v>
      </c>
      <c r="Q32" s="1">
        <v>79</v>
      </c>
      <c r="R32" s="1">
        <v>4246</v>
      </c>
      <c r="S32" s="1" t="s">
        <v>93</v>
      </c>
      <c r="T32" s="1" t="s">
        <v>118</v>
      </c>
      <c r="U32" s="1" t="s">
        <v>30</v>
      </c>
      <c r="V32" s="11">
        <v>6</v>
      </c>
      <c r="W32" s="18">
        <v>5</v>
      </c>
    </row>
    <row r="33" spans="1:23" x14ac:dyDescent="0.25">
      <c r="A33" s="2" t="s">
        <v>144</v>
      </c>
      <c r="B33" s="1" t="s">
        <v>145</v>
      </c>
      <c r="C33" s="8">
        <v>45838</v>
      </c>
      <c r="D33" s="1" t="s">
        <v>120</v>
      </c>
      <c r="E33" s="1" t="s">
        <v>120</v>
      </c>
      <c r="F33" s="1" t="s">
        <v>24</v>
      </c>
      <c r="G33" s="1">
        <v>42</v>
      </c>
      <c r="H33" s="1" t="s">
        <v>25</v>
      </c>
      <c r="I33" s="1" t="s">
        <v>45</v>
      </c>
      <c r="J33" s="1" t="s">
        <v>146</v>
      </c>
      <c r="K33" s="14">
        <v>1</v>
      </c>
      <c r="L33" s="1">
        <v>2472</v>
      </c>
      <c r="M33" s="1">
        <v>20</v>
      </c>
      <c r="N33" s="1">
        <f>Table1[[#This Row],[Discount]]/100</f>
        <v>0.2</v>
      </c>
      <c r="O33" s="1">
        <v>494.4</v>
      </c>
      <c r="P33" s="1">
        <v>1977.6</v>
      </c>
      <c r="Q33" s="1">
        <v>21</v>
      </c>
      <c r="R33" s="1">
        <v>1998.6</v>
      </c>
      <c r="S33" s="1" t="s">
        <v>52</v>
      </c>
      <c r="T33" s="1" t="s">
        <v>39</v>
      </c>
      <c r="U33" s="1" t="s">
        <v>30</v>
      </c>
      <c r="V33" s="11">
        <v>3</v>
      </c>
      <c r="W33" s="18">
        <v>4</v>
      </c>
    </row>
    <row r="34" spans="1:23" x14ac:dyDescent="0.25">
      <c r="A34" s="2" t="s">
        <v>147</v>
      </c>
      <c r="B34" s="1" t="s">
        <v>148</v>
      </c>
      <c r="C34" s="8">
        <v>45897</v>
      </c>
      <c r="D34" s="1" t="s">
        <v>78</v>
      </c>
      <c r="E34" s="1" t="s">
        <v>78</v>
      </c>
      <c r="F34" s="1" t="s">
        <v>34</v>
      </c>
      <c r="G34" s="1">
        <v>57</v>
      </c>
      <c r="H34" s="1" t="s">
        <v>57</v>
      </c>
      <c r="I34" s="1" t="s">
        <v>74</v>
      </c>
      <c r="J34" s="1" t="s">
        <v>97</v>
      </c>
      <c r="K34" s="14">
        <v>4</v>
      </c>
      <c r="L34" s="1">
        <v>637</v>
      </c>
      <c r="M34" s="1">
        <v>15</v>
      </c>
      <c r="N34" s="1">
        <f>Table1[[#This Row],[Discount]]/100</f>
        <v>0.15</v>
      </c>
      <c r="O34" s="1">
        <v>382.2</v>
      </c>
      <c r="P34" s="1">
        <v>2165.8000000000002</v>
      </c>
      <c r="Q34" s="1">
        <v>235</v>
      </c>
      <c r="R34" s="1">
        <v>2400.8000000000002</v>
      </c>
      <c r="S34" s="1" t="s">
        <v>52</v>
      </c>
      <c r="T34" s="1" t="s">
        <v>29</v>
      </c>
      <c r="U34" s="1" t="s">
        <v>40</v>
      </c>
      <c r="V34" s="11">
        <v>2</v>
      </c>
      <c r="W34" s="18"/>
    </row>
    <row r="35" spans="1:23" x14ac:dyDescent="0.25">
      <c r="A35" s="2" t="s">
        <v>149</v>
      </c>
      <c r="B35" s="1" t="s">
        <v>150</v>
      </c>
      <c r="C35" s="8">
        <v>45830</v>
      </c>
      <c r="D35" s="1" t="s">
        <v>23</v>
      </c>
      <c r="E35" s="1" t="s">
        <v>23</v>
      </c>
      <c r="F35" s="1" t="s">
        <v>44</v>
      </c>
      <c r="G35" s="1">
        <v>42</v>
      </c>
      <c r="H35" s="1" t="s">
        <v>69</v>
      </c>
      <c r="I35" s="1" t="s">
        <v>26</v>
      </c>
      <c r="J35" s="1" t="s">
        <v>27</v>
      </c>
      <c r="K35" s="14">
        <v>4</v>
      </c>
      <c r="L35" s="1">
        <v>18586</v>
      </c>
      <c r="M35" s="1">
        <v>10</v>
      </c>
      <c r="N35" s="1">
        <f>Table1[[#This Row],[Discount]]/100</f>
        <v>0.1</v>
      </c>
      <c r="O35" s="1">
        <v>7434.4</v>
      </c>
      <c r="P35" s="1">
        <v>66909.600000000006</v>
      </c>
      <c r="Q35" s="1">
        <v>103</v>
      </c>
      <c r="R35" s="1">
        <v>67012.600000000006</v>
      </c>
      <c r="S35" s="1" t="s">
        <v>28</v>
      </c>
      <c r="T35" s="1" t="s">
        <v>118</v>
      </c>
      <c r="U35" s="1" t="s">
        <v>30</v>
      </c>
      <c r="V35" s="11">
        <v>7</v>
      </c>
      <c r="W35" s="18">
        <v>4</v>
      </c>
    </row>
    <row r="36" spans="1:23" x14ac:dyDescent="0.25">
      <c r="A36" s="2" t="s">
        <v>151</v>
      </c>
      <c r="B36" s="1" t="s">
        <v>152</v>
      </c>
      <c r="C36" s="8">
        <v>45976</v>
      </c>
      <c r="D36" s="1" t="s">
        <v>153</v>
      </c>
      <c r="E36" s="1" t="s">
        <v>153</v>
      </c>
      <c r="F36" s="1" t="s">
        <v>24</v>
      </c>
      <c r="G36" s="1">
        <v>33</v>
      </c>
      <c r="H36" s="1" t="s">
        <v>50</v>
      </c>
      <c r="I36" s="1" t="s">
        <v>36</v>
      </c>
      <c r="J36" s="1" t="s">
        <v>37</v>
      </c>
      <c r="K36" s="14">
        <v>1</v>
      </c>
      <c r="L36" s="1">
        <v>654</v>
      </c>
      <c r="M36" s="1">
        <v>5</v>
      </c>
      <c r="N36" s="1">
        <f>Table1[[#This Row],[Discount]]/100</f>
        <v>0.05</v>
      </c>
      <c r="O36" s="1">
        <v>32.700000000000003</v>
      </c>
      <c r="P36" s="1">
        <v>621.29999999999995</v>
      </c>
      <c r="Q36" s="1">
        <v>25</v>
      </c>
      <c r="R36" s="1">
        <v>646.29999999999995</v>
      </c>
      <c r="S36" s="1" t="s">
        <v>52</v>
      </c>
      <c r="T36" s="1" t="s">
        <v>39</v>
      </c>
      <c r="U36" s="1" t="s">
        <v>30</v>
      </c>
      <c r="V36" s="11">
        <v>2</v>
      </c>
      <c r="W36" s="18">
        <v>3.5</v>
      </c>
    </row>
    <row r="37" spans="1:23" x14ac:dyDescent="0.25">
      <c r="A37" s="2" t="s">
        <v>154</v>
      </c>
      <c r="B37" s="1" t="s">
        <v>155</v>
      </c>
      <c r="C37" s="8">
        <v>45952</v>
      </c>
      <c r="D37" s="1" t="s">
        <v>78</v>
      </c>
      <c r="E37" s="1" t="s">
        <v>78</v>
      </c>
      <c r="F37" s="1" t="s">
        <v>24</v>
      </c>
      <c r="G37" s="1">
        <v>42</v>
      </c>
      <c r="H37" s="1" t="s">
        <v>35</v>
      </c>
      <c r="I37" s="1" t="s">
        <v>36</v>
      </c>
      <c r="J37" s="1" t="s">
        <v>156</v>
      </c>
      <c r="K37" s="14">
        <v>3</v>
      </c>
      <c r="L37" s="1">
        <v>1285</v>
      </c>
      <c r="M37" s="1">
        <v>20</v>
      </c>
      <c r="N37" s="1">
        <f>Table1[[#This Row],[Discount]]/100</f>
        <v>0.2</v>
      </c>
      <c r="O37" s="1">
        <v>771</v>
      </c>
      <c r="P37" s="1">
        <v>3084</v>
      </c>
      <c r="Q37" s="1">
        <v>99</v>
      </c>
      <c r="R37" s="1">
        <v>3183</v>
      </c>
      <c r="S37" s="1" t="s">
        <v>28</v>
      </c>
      <c r="T37" s="1" t="s">
        <v>29</v>
      </c>
      <c r="U37" s="1" t="s">
        <v>30</v>
      </c>
      <c r="V37" s="11">
        <v>6</v>
      </c>
      <c r="W37" s="18">
        <v>4</v>
      </c>
    </row>
    <row r="38" spans="1:23" x14ac:dyDescent="0.25">
      <c r="A38" s="2" t="s">
        <v>157</v>
      </c>
      <c r="B38" s="1" t="s">
        <v>158</v>
      </c>
      <c r="C38" s="8">
        <v>45847</v>
      </c>
      <c r="D38" s="1" t="s">
        <v>102</v>
      </c>
      <c r="E38" s="1" t="s">
        <v>103</v>
      </c>
      <c r="F38" s="1" t="s">
        <v>34</v>
      </c>
      <c r="G38" s="1">
        <v>50</v>
      </c>
      <c r="H38" s="1" t="s">
        <v>57</v>
      </c>
      <c r="I38" s="1" t="s">
        <v>36</v>
      </c>
      <c r="J38" s="1" t="s">
        <v>159</v>
      </c>
      <c r="K38" s="14">
        <v>1</v>
      </c>
      <c r="L38" s="1">
        <v>736</v>
      </c>
      <c r="M38" s="1">
        <v>10</v>
      </c>
      <c r="N38" s="1">
        <f>Table1[[#This Row],[Discount]]/100</f>
        <v>0.1</v>
      </c>
      <c r="O38" s="1">
        <v>73.599999999999994</v>
      </c>
      <c r="P38" s="1">
        <v>662.4</v>
      </c>
      <c r="Q38" s="1">
        <v>189</v>
      </c>
      <c r="R38" s="1">
        <v>851.4</v>
      </c>
      <c r="S38" s="1" t="s">
        <v>93</v>
      </c>
      <c r="T38" s="1" t="s">
        <v>39</v>
      </c>
      <c r="U38" s="1" t="s">
        <v>30</v>
      </c>
      <c r="V38" s="11">
        <v>1</v>
      </c>
      <c r="W38" s="18">
        <v>5</v>
      </c>
    </row>
    <row r="39" spans="1:23" x14ac:dyDescent="0.25">
      <c r="A39" s="2" t="s">
        <v>160</v>
      </c>
      <c r="B39" s="1" t="s">
        <v>161</v>
      </c>
      <c r="C39" s="8">
        <v>45881</v>
      </c>
      <c r="D39" s="1" t="s">
        <v>96</v>
      </c>
      <c r="E39" s="1" t="s">
        <v>96</v>
      </c>
      <c r="F39" s="1" t="s">
        <v>44</v>
      </c>
      <c r="G39" s="1">
        <v>55</v>
      </c>
      <c r="H39" s="1" t="s">
        <v>35</v>
      </c>
      <c r="I39" s="1" t="s">
        <v>88</v>
      </c>
      <c r="J39" s="1" t="s">
        <v>162</v>
      </c>
      <c r="K39" s="14">
        <v>2</v>
      </c>
      <c r="L39" s="1">
        <v>8848</v>
      </c>
      <c r="M39" s="1">
        <v>20</v>
      </c>
      <c r="N39" s="1">
        <f>Table1[[#This Row],[Discount]]/100</f>
        <v>0.2</v>
      </c>
      <c r="O39" s="1">
        <v>3539.2</v>
      </c>
      <c r="P39" s="1">
        <v>14156.8</v>
      </c>
      <c r="Q39" s="1">
        <v>139</v>
      </c>
      <c r="R39" s="1">
        <v>14295.8</v>
      </c>
      <c r="S39" s="1" t="s">
        <v>28</v>
      </c>
      <c r="T39" s="1" t="s">
        <v>118</v>
      </c>
      <c r="U39" s="1" t="s">
        <v>53</v>
      </c>
      <c r="W39" s="18"/>
    </row>
    <row r="40" spans="1:23" x14ac:dyDescent="0.25">
      <c r="A40" s="2" t="s">
        <v>163</v>
      </c>
      <c r="B40" s="1" t="s">
        <v>164</v>
      </c>
      <c r="C40" s="8">
        <v>45790</v>
      </c>
      <c r="D40" s="1" t="s">
        <v>107</v>
      </c>
      <c r="E40" s="1" t="s">
        <v>107</v>
      </c>
      <c r="F40" s="1" t="s">
        <v>44</v>
      </c>
      <c r="G40" s="1">
        <v>35</v>
      </c>
      <c r="H40" s="1" t="s">
        <v>25</v>
      </c>
      <c r="I40" s="1" t="s">
        <v>45</v>
      </c>
      <c r="J40" s="1" t="s">
        <v>165</v>
      </c>
      <c r="K40" s="14">
        <v>4</v>
      </c>
      <c r="L40" s="1">
        <v>2104</v>
      </c>
      <c r="M40" s="1">
        <v>5</v>
      </c>
      <c r="N40" s="1">
        <f>Table1[[#This Row],[Discount]]/100</f>
        <v>0.05</v>
      </c>
      <c r="O40" s="1">
        <v>420.8</v>
      </c>
      <c r="P40" s="1">
        <v>7995.2</v>
      </c>
      <c r="Q40" s="1">
        <v>110</v>
      </c>
      <c r="R40" s="1">
        <v>8105.2</v>
      </c>
      <c r="S40" s="1" t="s">
        <v>28</v>
      </c>
      <c r="T40" s="1" t="s">
        <v>29</v>
      </c>
      <c r="U40" s="1" t="s">
        <v>30</v>
      </c>
      <c r="V40" s="11">
        <v>3</v>
      </c>
      <c r="W40" s="18">
        <v>4.5</v>
      </c>
    </row>
    <row r="41" spans="1:23" x14ac:dyDescent="0.25">
      <c r="A41" s="2" t="s">
        <v>166</v>
      </c>
      <c r="B41" s="1" t="s">
        <v>167</v>
      </c>
      <c r="C41" s="8">
        <v>45705</v>
      </c>
      <c r="D41" s="1" t="s">
        <v>33</v>
      </c>
      <c r="E41" s="1" t="s">
        <v>33</v>
      </c>
      <c r="F41" s="1" t="s">
        <v>34</v>
      </c>
      <c r="G41" s="1">
        <v>32</v>
      </c>
      <c r="H41" s="1" t="s">
        <v>69</v>
      </c>
      <c r="I41" s="1" t="s">
        <v>26</v>
      </c>
      <c r="J41" s="1" t="s">
        <v>51</v>
      </c>
      <c r="K41" s="14">
        <v>4</v>
      </c>
      <c r="L41" s="1">
        <v>64838</v>
      </c>
      <c r="M41" s="1">
        <v>15</v>
      </c>
      <c r="N41" s="1">
        <f>Table1[[#This Row],[Discount]]/100</f>
        <v>0.15</v>
      </c>
      <c r="O41" s="1">
        <v>38902.800000000003</v>
      </c>
      <c r="P41" s="1">
        <v>220449.2</v>
      </c>
      <c r="Q41" s="1">
        <v>24</v>
      </c>
      <c r="R41" s="1">
        <v>220473.2</v>
      </c>
      <c r="S41" s="1" t="s">
        <v>66</v>
      </c>
      <c r="T41" s="1" t="s">
        <v>29</v>
      </c>
      <c r="U41" s="1" t="s">
        <v>30</v>
      </c>
      <c r="V41" s="11">
        <v>3</v>
      </c>
      <c r="W41" s="18">
        <v>4</v>
      </c>
    </row>
    <row r="42" spans="1:23" x14ac:dyDescent="0.25">
      <c r="A42" s="2" t="s">
        <v>168</v>
      </c>
      <c r="B42" s="1" t="s">
        <v>169</v>
      </c>
      <c r="C42" s="8">
        <v>45776</v>
      </c>
      <c r="D42" s="1" t="s">
        <v>83</v>
      </c>
      <c r="E42" s="1" t="s">
        <v>83</v>
      </c>
      <c r="F42" s="1" t="s">
        <v>24</v>
      </c>
      <c r="G42" s="1">
        <v>30</v>
      </c>
      <c r="H42" s="1" t="s">
        <v>25</v>
      </c>
      <c r="I42" s="1" t="s">
        <v>45</v>
      </c>
      <c r="J42" s="1" t="s">
        <v>84</v>
      </c>
      <c r="K42" s="14">
        <v>5</v>
      </c>
      <c r="L42" s="1">
        <v>1434</v>
      </c>
      <c r="M42" s="1">
        <v>15</v>
      </c>
      <c r="N42" s="1">
        <f>Table1[[#This Row],[Discount]]/100</f>
        <v>0.15</v>
      </c>
      <c r="O42" s="1">
        <v>1075.5</v>
      </c>
      <c r="P42" s="1">
        <v>6094.5</v>
      </c>
      <c r="Q42" s="1">
        <v>84</v>
      </c>
      <c r="R42" s="1">
        <v>6178.5</v>
      </c>
      <c r="S42" s="1" t="s">
        <v>66</v>
      </c>
      <c r="T42" s="1" t="s">
        <v>39</v>
      </c>
      <c r="U42" s="1" t="s">
        <v>30</v>
      </c>
      <c r="V42" s="11">
        <v>1</v>
      </c>
      <c r="W42" s="18">
        <v>4</v>
      </c>
    </row>
    <row r="43" spans="1:23" x14ac:dyDescent="0.25">
      <c r="A43" s="2" t="s">
        <v>170</v>
      </c>
      <c r="B43" s="1" t="s">
        <v>171</v>
      </c>
      <c r="C43" s="8">
        <v>45812</v>
      </c>
      <c r="D43" s="1" t="s">
        <v>33</v>
      </c>
      <c r="E43" s="1" t="s">
        <v>33</v>
      </c>
      <c r="F43" s="1" t="s">
        <v>34</v>
      </c>
      <c r="G43" s="1">
        <v>52</v>
      </c>
      <c r="H43" s="1" t="s">
        <v>50</v>
      </c>
      <c r="I43" s="1" t="s">
        <v>74</v>
      </c>
      <c r="J43" s="1" t="s">
        <v>172</v>
      </c>
      <c r="K43" s="14">
        <v>3</v>
      </c>
      <c r="L43" s="1">
        <v>5288</v>
      </c>
      <c r="M43" s="1">
        <v>10</v>
      </c>
      <c r="N43" s="1">
        <f>Table1[[#This Row],[Discount]]/100</f>
        <v>0.1</v>
      </c>
      <c r="O43" s="1">
        <v>1586.4</v>
      </c>
      <c r="P43" s="1">
        <v>14277.6</v>
      </c>
      <c r="Q43" s="1">
        <v>65</v>
      </c>
      <c r="R43" s="1">
        <v>14342.6</v>
      </c>
      <c r="S43" s="1" t="s">
        <v>52</v>
      </c>
      <c r="T43" s="1" t="s">
        <v>118</v>
      </c>
      <c r="U43" s="1" t="s">
        <v>30</v>
      </c>
      <c r="V43" s="11">
        <v>1</v>
      </c>
      <c r="W43" s="18">
        <v>3.5</v>
      </c>
    </row>
    <row r="44" spans="1:23" x14ac:dyDescent="0.25">
      <c r="A44" s="2" t="s">
        <v>173</v>
      </c>
      <c r="B44" s="1" t="s">
        <v>174</v>
      </c>
      <c r="C44" s="8">
        <v>45787</v>
      </c>
      <c r="D44" s="1" t="s">
        <v>102</v>
      </c>
      <c r="E44" s="1" t="s">
        <v>103</v>
      </c>
      <c r="F44" s="1" t="s">
        <v>34</v>
      </c>
      <c r="G44" s="1">
        <v>48</v>
      </c>
      <c r="H44" s="1" t="s">
        <v>57</v>
      </c>
      <c r="I44" s="1" t="s">
        <v>74</v>
      </c>
      <c r="J44" s="1" t="s">
        <v>172</v>
      </c>
      <c r="K44" s="14">
        <v>1</v>
      </c>
      <c r="L44" s="1">
        <v>5102</v>
      </c>
      <c r="M44" s="1">
        <v>10</v>
      </c>
      <c r="N44" s="1">
        <f>Table1[[#This Row],[Discount]]/100</f>
        <v>0.1</v>
      </c>
      <c r="O44" s="1">
        <v>510.2</v>
      </c>
      <c r="P44" s="1">
        <v>4591.8</v>
      </c>
      <c r="Q44" s="1">
        <v>33</v>
      </c>
      <c r="R44" s="1">
        <v>4624.8</v>
      </c>
      <c r="S44" s="1" t="s">
        <v>93</v>
      </c>
      <c r="T44" s="1" t="s">
        <v>39</v>
      </c>
      <c r="U44" s="1" t="s">
        <v>30</v>
      </c>
      <c r="V44" s="11">
        <v>7</v>
      </c>
      <c r="W44" s="18">
        <v>3</v>
      </c>
    </row>
    <row r="45" spans="1:23" x14ac:dyDescent="0.25">
      <c r="A45" s="2" t="s">
        <v>175</v>
      </c>
      <c r="B45" s="1" t="s">
        <v>176</v>
      </c>
      <c r="C45" s="8">
        <v>45963</v>
      </c>
      <c r="D45" s="1" t="s">
        <v>73</v>
      </c>
      <c r="E45" s="1" t="s">
        <v>73</v>
      </c>
      <c r="F45" s="1" t="s">
        <v>24</v>
      </c>
      <c r="G45" s="1">
        <v>57</v>
      </c>
      <c r="H45" s="1" t="s">
        <v>57</v>
      </c>
      <c r="I45" s="1" t="s">
        <v>36</v>
      </c>
      <c r="J45" s="1" t="s">
        <v>177</v>
      </c>
      <c r="K45" s="14">
        <v>2</v>
      </c>
      <c r="L45" s="1">
        <v>1370</v>
      </c>
      <c r="M45" s="1">
        <v>20</v>
      </c>
      <c r="N45" s="1">
        <f>Table1[[#This Row],[Discount]]/100</f>
        <v>0.2</v>
      </c>
      <c r="O45" s="1">
        <v>548</v>
      </c>
      <c r="P45" s="1">
        <v>2192</v>
      </c>
      <c r="Q45" s="1">
        <v>175</v>
      </c>
      <c r="R45" s="1">
        <v>2367</v>
      </c>
      <c r="S45" s="1" t="s">
        <v>93</v>
      </c>
      <c r="T45" s="1" t="s">
        <v>118</v>
      </c>
      <c r="U45" s="1" t="s">
        <v>53</v>
      </c>
      <c r="W45" s="18"/>
    </row>
    <row r="46" spans="1:23" x14ac:dyDescent="0.25">
      <c r="A46" s="2" t="s">
        <v>178</v>
      </c>
      <c r="B46" s="1" t="s">
        <v>179</v>
      </c>
      <c r="C46" s="8">
        <v>45780</v>
      </c>
      <c r="D46" s="1" t="s">
        <v>110</v>
      </c>
      <c r="E46" s="1" t="s">
        <v>110</v>
      </c>
      <c r="F46" s="1" t="s">
        <v>34</v>
      </c>
      <c r="G46" s="1">
        <v>53</v>
      </c>
      <c r="H46" s="1" t="s">
        <v>50</v>
      </c>
      <c r="I46" s="1" t="s">
        <v>58</v>
      </c>
      <c r="J46" s="1" t="s">
        <v>65</v>
      </c>
      <c r="K46" s="14">
        <v>3</v>
      </c>
      <c r="L46" s="1">
        <v>2712</v>
      </c>
      <c r="M46" s="1">
        <v>10</v>
      </c>
      <c r="N46" s="1">
        <f>Table1[[#This Row],[Discount]]/100</f>
        <v>0.1</v>
      </c>
      <c r="O46" s="1">
        <v>813.6</v>
      </c>
      <c r="P46" s="1">
        <v>7322.4</v>
      </c>
      <c r="Q46" s="1">
        <v>60</v>
      </c>
      <c r="R46" s="1">
        <v>7382.4</v>
      </c>
      <c r="S46" s="1" t="s">
        <v>93</v>
      </c>
      <c r="T46" s="1" t="s">
        <v>118</v>
      </c>
      <c r="U46" s="1" t="s">
        <v>40</v>
      </c>
      <c r="V46" s="11">
        <v>2</v>
      </c>
      <c r="W46" s="18"/>
    </row>
    <row r="47" spans="1:23" x14ac:dyDescent="0.25">
      <c r="A47" s="2" t="s">
        <v>180</v>
      </c>
      <c r="B47" s="1" t="s">
        <v>181</v>
      </c>
      <c r="C47" s="8">
        <v>45793</v>
      </c>
      <c r="D47" s="1" t="s">
        <v>102</v>
      </c>
      <c r="E47" s="1" t="s">
        <v>103</v>
      </c>
      <c r="F47" s="1" t="s">
        <v>34</v>
      </c>
      <c r="G47" s="1">
        <v>58</v>
      </c>
      <c r="H47" s="1" t="s">
        <v>57</v>
      </c>
      <c r="I47" s="1" t="s">
        <v>58</v>
      </c>
      <c r="J47" s="1" t="s">
        <v>65</v>
      </c>
      <c r="K47" s="14">
        <v>3</v>
      </c>
      <c r="L47" s="1">
        <v>3029</v>
      </c>
      <c r="M47" s="1">
        <v>15</v>
      </c>
      <c r="N47" s="1">
        <f>Table1[[#This Row],[Discount]]/100</f>
        <v>0.15</v>
      </c>
      <c r="O47" s="1">
        <v>1363.05</v>
      </c>
      <c r="P47" s="1">
        <v>7723.95</v>
      </c>
      <c r="Q47" s="1">
        <v>79</v>
      </c>
      <c r="R47" s="1">
        <v>7802.95</v>
      </c>
      <c r="S47" s="1" t="s">
        <v>28</v>
      </c>
      <c r="T47" s="1" t="s">
        <v>29</v>
      </c>
      <c r="U47" s="1" t="s">
        <v>30</v>
      </c>
      <c r="V47" s="11">
        <v>7</v>
      </c>
      <c r="W47" s="18">
        <v>4.5</v>
      </c>
    </row>
    <row r="48" spans="1:23" x14ac:dyDescent="0.25">
      <c r="A48" s="2" t="s">
        <v>182</v>
      </c>
      <c r="B48" s="1" t="s">
        <v>183</v>
      </c>
      <c r="C48" s="8">
        <v>45805</v>
      </c>
      <c r="D48" s="1" t="s">
        <v>33</v>
      </c>
      <c r="E48" s="1" t="s">
        <v>33</v>
      </c>
      <c r="F48" s="1" t="s">
        <v>24</v>
      </c>
      <c r="G48" s="1">
        <v>25</v>
      </c>
      <c r="H48" s="1" t="s">
        <v>69</v>
      </c>
      <c r="I48" s="1" t="s">
        <v>36</v>
      </c>
      <c r="J48" s="1" t="s">
        <v>159</v>
      </c>
      <c r="K48" s="14">
        <v>3</v>
      </c>
      <c r="L48" s="1">
        <v>2919</v>
      </c>
      <c r="M48" s="1">
        <v>20</v>
      </c>
      <c r="N48" s="1">
        <f>Table1[[#This Row],[Discount]]/100</f>
        <v>0.2</v>
      </c>
      <c r="O48" s="1">
        <v>1751.4</v>
      </c>
      <c r="P48" s="1">
        <v>7005.6</v>
      </c>
      <c r="Q48" s="1">
        <v>165</v>
      </c>
      <c r="R48" s="1">
        <v>7170.6</v>
      </c>
      <c r="S48" s="1" t="s">
        <v>66</v>
      </c>
      <c r="T48" s="1" t="s">
        <v>118</v>
      </c>
      <c r="U48" s="1" t="s">
        <v>40</v>
      </c>
      <c r="V48" s="11">
        <v>4</v>
      </c>
      <c r="W48" s="18"/>
    </row>
    <row r="49" spans="1:23" x14ac:dyDescent="0.25">
      <c r="A49" s="2" t="s">
        <v>184</v>
      </c>
      <c r="B49" s="1" t="s">
        <v>185</v>
      </c>
      <c r="C49" s="8">
        <v>45775</v>
      </c>
      <c r="D49" s="1" t="s">
        <v>110</v>
      </c>
      <c r="E49" s="1" t="s">
        <v>110</v>
      </c>
      <c r="F49" s="1" t="s">
        <v>34</v>
      </c>
      <c r="G49" s="1">
        <v>54</v>
      </c>
      <c r="H49" s="1" t="s">
        <v>69</v>
      </c>
      <c r="I49" s="1" t="s">
        <v>58</v>
      </c>
      <c r="J49" s="1" t="s">
        <v>114</v>
      </c>
      <c r="K49" s="14">
        <v>4</v>
      </c>
      <c r="L49" s="1">
        <v>3158</v>
      </c>
      <c r="M49" s="1">
        <v>20</v>
      </c>
      <c r="N49" s="1">
        <f>Table1[[#This Row],[Discount]]/100</f>
        <v>0.2</v>
      </c>
      <c r="O49" s="1">
        <v>2526.4</v>
      </c>
      <c r="P49" s="1">
        <v>10105.6</v>
      </c>
      <c r="Q49" s="1">
        <v>43</v>
      </c>
      <c r="R49" s="1">
        <v>10148.6</v>
      </c>
      <c r="S49" s="1" t="s">
        <v>52</v>
      </c>
      <c r="T49" s="1" t="s">
        <v>39</v>
      </c>
      <c r="U49" s="1" t="s">
        <v>30</v>
      </c>
      <c r="V49" s="11">
        <v>6</v>
      </c>
      <c r="W49" s="18">
        <v>4.5</v>
      </c>
    </row>
    <row r="50" spans="1:23" x14ac:dyDescent="0.25">
      <c r="A50" s="2" t="s">
        <v>186</v>
      </c>
      <c r="B50" s="1" t="s">
        <v>187</v>
      </c>
      <c r="C50" s="8">
        <v>45836</v>
      </c>
      <c r="D50" s="1" t="s">
        <v>140</v>
      </c>
      <c r="E50" s="1" t="s">
        <v>141</v>
      </c>
      <c r="F50" s="1" t="s">
        <v>24</v>
      </c>
      <c r="G50" s="1">
        <v>39</v>
      </c>
      <c r="H50" s="1" t="s">
        <v>50</v>
      </c>
      <c r="I50" s="1" t="s">
        <v>74</v>
      </c>
      <c r="J50" s="1" t="s">
        <v>172</v>
      </c>
      <c r="K50" s="14">
        <v>5</v>
      </c>
      <c r="L50" s="1">
        <v>2678</v>
      </c>
      <c r="M50" s="1">
        <v>15</v>
      </c>
      <c r="N50" s="1">
        <f>Table1[[#This Row],[Discount]]/100</f>
        <v>0.15</v>
      </c>
      <c r="O50" s="1">
        <v>2008.5</v>
      </c>
      <c r="P50" s="1">
        <v>11381.5</v>
      </c>
      <c r="Q50" s="1">
        <v>140</v>
      </c>
      <c r="R50" s="1">
        <v>11521.5</v>
      </c>
      <c r="S50" s="1" t="s">
        <v>47</v>
      </c>
      <c r="T50" s="1" t="s">
        <v>118</v>
      </c>
      <c r="U50" s="1" t="s">
        <v>70</v>
      </c>
      <c r="W50" s="18"/>
    </row>
    <row r="51" spans="1:23" x14ac:dyDescent="0.25">
      <c r="A51" s="2" t="s">
        <v>188</v>
      </c>
      <c r="B51" s="1" t="s">
        <v>189</v>
      </c>
      <c r="C51" s="8">
        <v>45864</v>
      </c>
      <c r="D51" s="1" t="s">
        <v>96</v>
      </c>
      <c r="E51" s="1" t="s">
        <v>96</v>
      </c>
      <c r="F51" s="1" t="s">
        <v>24</v>
      </c>
      <c r="G51" s="1">
        <v>50</v>
      </c>
      <c r="H51" s="1" t="s">
        <v>57</v>
      </c>
      <c r="I51" s="1" t="s">
        <v>36</v>
      </c>
      <c r="J51" s="1" t="s">
        <v>92</v>
      </c>
      <c r="K51" s="14">
        <v>3</v>
      </c>
      <c r="L51" s="1">
        <v>2976</v>
      </c>
      <c r="M51" s="1">
        <v>10</v>
      </c>
      <c r="N51" s="1">
        <f>Table1[[#This Row],[Discount]]/100</f>
        <v>0.1</v>
      </c>
      <c r="O51" s="1">
        <v>892.8</v>
      </c>
      <c r="P51" s="1">
        <v>8035.2</v>
      </c>
      <c r="Q51" s="1">
        <v>217</v>
      </c>
      <c r="R51" s="1">
        <v>8252.2000000000007</v>
      </c>
      <c r="S51" s="1" t="s">
        <v>93</v>
      </c>
      <c r="T51" s="1" t="s">
        <v>39</v>
      </c>
      <c r="U51" s="1" t="s">
        <v>30</v>
      </c>
      <c r="V51" s="11">
        <v>7</v>
      </c>
      <c r="W51" s="18">
        <v>3</v>
      </c>
    </row>
    <row r="52" spans="1:23" x14ac:dyDescent="0.25">
      <c r="A52" s="2" t="s">
        <v>190</v>
      </c>
      <c r="B52" s="1" t="s">
        <v>191</v>
      </c>
      <c r="C52" s="8">
        <v>45882</v>
      </c>
      <c r="D52" s="1" t="s">
        <v>33</v>
      </c>
      <c r="E52" s="1" t="s">
        <v>33</v>
      </c>
      <c r="F52" s="1" t="s">
        <v>24</v>
      </c>
      <c r="G52" s="1">
        <v>49</v>
      </c>
      <c r="H52" s="1" t="s">
        <v>25</v>
      </c>
      <c r="I52" s="1" t="s">
        <v>58</v>
      </c>
      <c r="J52" s="1" t="s">
        <v>62</v>
      </c>
      <c r="K52" s="14">
        <v>5</v>
      </c>
      <c r="L52" s="1">
        <v>983</v>
      </c>
      <c r="M52" s="1">
        <v>20</v>
      </c>
      <c r="N52" s="1">
        <f>Table1[[#This Row],[Discount]]/100</f>
        <v>0.2</v>
      </c>
      <c r="O52" s="1">
        <v>983</v>
      </c>
      <c r="P52" s="1">
        <v>3932</v>
      </c>
      <c r="Q52" s="1">
        <v>93</v>
      </c>
      <c r="R52" s="1">
        <v>4025</v>
      </c>
      <c r="S52" s="1" t="s">
        <v>47</v>
      </c>
      <c r="T52" s="1" t="s">
        <v>29</v>
      </c>
      <c r="U52" s="1" t="s">
        <v>30</v>
      </c>
      <c r="V52" s="11">
        <v>6</v>
      </c>
      <c r="W52" s="18">
        <v>3</v>
      </c>
    </row>
    <row r="53" spans="1:23" x14ac:dyDescent="0.25">
      <c r="A53" s="2" t="s">
        <v>192</v>
      </c>
      <c r="B53" s="1" t="s">
        <v>193</v>
      </c>
      <c r="C53" s="8">
        <v>45989</v>
      </c>
      <c r="D53" s="1" t="s">
        <v>56</v>
      </c>
      <c r="E53" s="1" t="s">
        <v>56</v>
      </c>
      <c r="F53" s="1" t="s">
        <v>24</v>
      </c>
      <c r="G53" s="1">
        <v>27</v>
      </c>
      <c r="H53" s="1" t="s">
        <v>69</v>
      </c>
      <c r="I53" s="1" t="s">
        <v>88</v>
      </c>
      <c r="J53" s="1" t="s">
        <v>117</v>
      </c>
      <c r="K53" s="14">
        <v>1</v>
      </c>
      <c r="L53" s="1">
        <v>1827</v>
      </c>
      <c r="M53" s="1">
        <v>0</v>
      </c>
      <c r="N53" s="1">
        <f>Table1[[#This Row],[Discount]]/100</f>
        <v>0</v>
      </c>
      <c r="O53" s="1">
        <v>0</v>
      </c>
      <c r="P53" s="1">
        <v>1827</v>
      </c>
      <c r="Q53" s="1">
        <v>50</v>
      </c>
      <c r="R53" s="1">
        <v>1877</v>
      </c>
      <c r="S53" s="1" t="s">
        <v>52</v>
      </c>
      <c r="T53" s="1" t="s">
        <v>29</v>
      </c>
      <c r="U53" s="1" t="s">
        <v>30</v>
      </c>
      <c r="V53" s="11">
        <v>7</v>
      </c>
      <c r="W53" s="18">
        <v>4</v>
      </c>
    </row>
    <row r="54" spans="1:23" x14ac:dyDescent="0.25">
      <c r="A54" s="2" t="s">
        <v>194</v>
      </c>
      <c r="B54" s="1" t="s">
        <v>195</v>
      </c>
      <c r="C54" s="8">
        <v>45727</v>
      </c>
      <c r="D54" s="1" t="s">
        <v>110</v>
      </c>
      <c r="E54" s="1" t="s">
        <v>110</v>
      </c>
      <c r="F54" s="1" t="s">
        <v>44</v>
      </c>
      <c r="G54" s="1">
        <v>22</v>
      </c>
      <c r="H54" s="1" t="s">
        <v>69</v>
      </c>
      <c r="I54" s="1" t="s">
        <v>45</v>
      </c>
      <c r="J54" s="1" t="s">
        <v>146</v>
      </c>
      <c r="K54" s="14">
        <v>4</v>
      </c>
      <c r="L54" s="1">
        <v>672</v>
      </c>
      <c r="M54" s="1">
        <v>20</v>
      </c>
      <c r="N54" s="1">
        <f>Table1[[#This Row],[Discount]]/100</f>
        <v>0.2</v>
      </c>
      <c r="O54" s="1">
        <v>537.6</v>
      </c>
      <c r="P54" s="1">
        <v>2150.4</v>
      </c>
      <c r="Q54" s="1">
        <v>245</v>
      </c>
      <c r="R54" s="1">
        <v>2395.4</v>
      </c>
      <c r="S54" s="1" t="s">
        <v>52</v>
      </c>
      <c r="T54" s="1" t="s">
        <v>118</v>
      </c>
      <c r="U54" s="1" t="s">
        <v>30</v>
      </c>
      <c r="V54" s="11">
        <v>7</v>
      </c>
      <c r="W54" s="18">
        <v>4</v>
      </c>
    </row>
    <row r="55" spans="1:23" x14ac:dyDescent="0.25">
      <c r="A55" s="2" t="s">
        <v>196</v>
      </c>
      <c r="B55" s="1" t="s">
        <v>197</v>
      </c>
      <c r="C55" s="8">
        <v>45851</v>
      </c>
      <c r="D55" s="1" t="s">
        <v>87</v>
      </c>
      <c r="E55" s="1" t="s">
        <v>87</v>
      </c>
      <c r="F55" s="1" t="s">
        <v>34</v>
      </c>
      <c r="G55" s="1">
        <v>38</v>
      </c>
      <c r="H55" s="1" t="s">
        <v>25</v>
      </c>
      <c r="I55" s="1" t="s">
        <v>26</v>
      </c>
      <c r="J55" s="1" t="s">
        <v>198</v>
      </c>
      <c r="K55" s="14">
        <v>3</v>
      </c>
      <c r="L55" s="1">
        <v>64978</v>
      </c>
      <c r="M55" s="1">
        <v>10</v>
      </c>
      <c r="N55" s="1">
        <f>Table1[[#This Row],[Discount]]/100</f>
        <v>0.1</v>
      </c>
      <c r="O55" s="1">
        <v>19493.400000000001</v>
      </c>
      <c r="P55" s="1">
        <v>175440.6</v>
      </c>
      <c r="Q55" s="1">
        <v>159</v>
      </c>
      <c r="R55" s="1">
        <v>175599.6</v>
      </c>
      <c r="S55" s="1" t="s">
        <v>93</v>
      </c>
      <c r="T55" s="1" t="s">
        <v>39</v>
      </c>
      <c r="U55" s="1" t="s">
        <v>30</v>
      </c>
      <c r="V55" s="11">
        <v>4</v>
      </c>
      <c r="W55" s="18">
        <v>3.5</v>
      </c>
    </row>
    <row r="56" spans="1:23" x14ac:dyDescent="0.25">
      <c r="A56" s="2" t="s">
        <v>199</v>
      </c>
      <c r="B56" s="1" t="s">
        <v>200</v>
      </c>
      <c r="C56" s="8">
        <v>45827</v>
      </c>
      <c r="D56" s="1" t="s">
        <v>87</v>
      </c>
      <c r="E56" s="1" t="s">
        <v>87</v>
      </c>
      <c r="F56" s="1" t="s">
        <v>24</v>
      </c>
      <c r="G56" s="1">
        <v>24</v>
      </c>
      <c r="H56" s="1" t="s">
        <v>57</v>
      </c>
      <c r="I56" s="1" t="s">
        <v>45</v>
      </c>
      <c r="J56" s="1" t="s">
        <v>46</v>
      </c>
      <c r="K56" s="14">
        <v>3</v>
      </c>
      <c r="L56" s="1">
        <v>703</v>
      </c>
      <c r="M56" s="1">
        <v>5</v>
      </c>
      <c r="N56" s="1">
        <f>Table1[[#This Row],[Discount]]/100</f>
        <v>0.05</v>
      </c>
      <c r="O56" s="1">
        <v>105.45</v>
      </c>
      <c r="P56" s="1">
        <v>2003.55</v>
      </c>
      <c r="Q56" s="1">
        <v>171</v>
      </c>
      <c r="R56" s="1">
        <v>2174.5500000000002</v>
      </c>
      <c r="S56" s="1" t="s">
        <v>28</v>
      </c>
      <c r="T56" s="1" t="s">
        <v>29</v>
      </c>
      <c r="U56" s="1" t="s">
        <v>30</v>
      </c>
      <c r="V56" s="11">
        <v>7</v>
      </c>
      <c r="W56" s="18">
        <v>4</v>
      </c>
    </row>
    <row r="57" spans="1:23" x14ac:dyDescent="0.25">
      <c r="A57" s="2" t="s">
        <v>201</v>
      </c>
      <c r="B57" s="1" t="s">
        <v>202</v>
      </c>
      <c r="C57" s="8">
        <v>45931</v>
      </c>
      <c r="D57" s="1" t="s">
        <v>56</v>
      </c>
      <c r="E57" s="1" t="s">
        <v>56</v>
      </c>
      <c r="F57" s="1" t="s">
        <v>24</v>
      </c>
      <c r="G57" s="1">
        <v>38</v>
      </c>
      <c r="H57" s="1" t="s">
        <v>57</v>
      </c>
      <c r="I57" s="1" t="s">
        <v>45</v>
      </c>
      <c r="J57" s="1" t="s">
        <v>165</v>
      </c>
      <c r="K57" s="14">
        <v>1</v>
      </c>
      <c r="L57" s="1">
        <v>1708</v>
      </c>
      <c r="M57" s="1">
        <v>10</v>
      </c>
      <c r="N57" s="1">
        <f>Table1[[#This Row],[Discount]]/100</f>
        <v>0.1</v>
      </c>
      <c r="O57" s="1">
        <v>170.8</v>
      </c>
      <c r="P57" s="1">
        <v>1537.2</v>
      </c>
      <c r="Q57" s="1">
        <v>239</v>
      </c>
      <c r="R57" s="1">
        <v>1776.2</v>
      </c>
      <c r="S57" s="1" t="s">
        <v>52</v>
      </c>
      <c r="T57" s="1" t="s">
        <v>39</v>
      </c>
      <c r="U57" s="1" t="s">
        <v>53</v>
      </c>
      <c r="W57" s="18"/>
    </row>
    <row r="58" spans="1:23" x14ac:dyDescent="0.25">
      <c r="A58" s="2" t="s">
        <v>203</v>
      </c>
      <c r="B58" s="1" t="s">
        <v>204</v>
      </c>
      <c r="C58" s="8">
        <v>45743</v>
      </c>
      <c r="D58" s="1" t="s">
        <v>73</v>
      </c>
      <c r="E58" s="1" t="s">
        <v>73</v>
      </c>
      <c r="F58" s="1" t="s">
        <v>34</v>
      </c>
      <c r="G58" s="1">
        <v>37</v>
      </c>
      <c r="H58" s="1" t="s">
        <v>50</v>
      </c>
      <c r="I58" s="1" t="s">
        <v>26</v>
      </c>
      <c r="J58" s="1" t="s">
        <v>51</v>
      </c>
      <c r="K58" s="14">
        <v>3</v>
      </c>
      <c r="L58" s="1">
        <v>30617</v>
      </c>
      <c r="M58" s="1">
        <v>25</v>
      </c>
      <c r="N58" s="1">
        <f>Table1[[#This Row],[Discount]]/100</f>
        <v>0.25</v>
      </c>
      <c r="O58" s="1">
        <v>22962.75</v>
      </c>
      <c r="P58" s="1">
        <v>68888.25</v>
      </c>
      <c r="Q58" s="1">
        <v>133</v>
      </c>
      <c r="R58" s="1">
        <v>69021.25</v>
      </c>
      <c r="S58" s="1" t="s">
        <v>38</v>
      </c>
      <c r="T58" s="1" t="s">
        <v>39</v>
      </c>
      <c r="U58" s="1" t="s">
        <v>80</v>
      </c>
      <c r="W58" s="18"/>
    </row>
    <row r="59" spans="1:23" x14ac:dyDescent="0.25">
      <c r="A59" s="2" t="s">
        <v>205</v>
      </c>
      <c r="B59" s="1" t="s">
        <v>206</v>
      </c>
      <c r="C59" s="8">
        <v>45970</v>
      </c>
      <c r="D59" s="1" t="s">
        <v>110</v>
      </c>
      <c r="E59" s="1" t="s">
        <v>110</v>
      </c>
      <c r="F59" s="1" t="s">
        <v>34</v>
      </c>
      <c r="G59" s="1">
        <v>42</v>
      </c>
      <c r="H59" s="1" t="s">
        <v>57</v>
      </c>
      <c r="I59" s="1" t="s">
        <v>88</v>
      </c>
      <c r="J59" s="1" t="s">
        <v>207</v>
      </c>
      <c r="K59" s="14">
        <v>4</v>
      </c>
      <c r="L59" s="1">
        <v>9002</v>
      </c>
      <c r="M59" s="1">
        <v>5</v>
      </c>
      <c r="N59" s="1">
        <f>Table1[[#This Row],[Discount]]/100</f>
        <v>0.05</v>
      </c>
      <c r="O59" s="1">
        <v>1800.4</v>
      </c>
      <c r="P59" s="1">
        <v>34207.599999999999</v>
      </c>
      <c r="Q59" s="1">
        <v>40</v>
      </c>
      <c r="R59" s="1">
        <v>34247.599999999999</v>
      </c>
      <c r="S59" s="1" t="s">
        <v>52</v>
      </c>
      <c r="T59" s="1" t="s">
        <v>39</v>
      </c>
      <c r="U59" s="1" t="s">
        <v>30</v>
      </c>
      <c r="V59" s="11">
        <v>7</v>
      </c>
      <c r="W59" s="18">
        <v>4.5</v>
      </c>
    </row>
    <row r="60" spans="1:23" x14ac:dyDescent="0.25">
      <c r="A60" s="2" t="s">
        <v>208</v>
      </c>
      <c r="B60" s="1" t="s">
        <v>209</v>
      </c>
      <c r="C60" s="8">
        <v>45884</v>
      </c>
      <c r="D60" s="1" t="s">
        <v>33</v>
      </c>
      <c r="E60" s="1" t="s">
        <v>33</v>
      </c>
      <c r="F60" s="1" t="s">
        <v>44</v>
      </c>
      <c r="G60" s="1">
        <v>55</v>
      </c>
      <c r="H60" s="1" t="s">
        <v>69</v>
      </c>
      <c r="I60" s="1" t="s">
        <v>45</v>
      </c>
      <c r="J60" s="1" t="s">
        <v>111</v>
      </c>
      <c r="K60" s="14">
        <v>4</v>
      </c>
      <c r="L60" s="1">
        <v>1985</v>
      </c>
      <c r="M60" s="1">
        <v>25</v>
      </c>
      <c r="N60" s="1">
        <f>Table1[[#This Row],[Discount]]/100</f>
        <v>0.25</v>
      </c>
      <c r="O60" s="1">
        <v>1985</v>
      </c>
      <c r="P60" s="1">
        <v>5955</v>
      </c>
      <c r="Q60" s="1">
        <v>38</v>
      </c>
      <c r="R60" s="1">
        <v>5993</v>
      </c>
      <c r="S60" s="1" t="s">
        <v>93</v>
      </c>
      <c r="T60" s="1" t="s">
        <v>118</v>
      </c>
      <c r="U60" s="1" t="s">
        <v>30</v>
      </c>
      <c r="V60" s="11">
        <v>3</v>
      </c>
      <c r="W60" s="18">
        <v>4</v>
      </c>
    </row>
    <row r="61" spans="1:23" x14ac:dyDescent="0.25">
      <c r="A61" s="2" t="s">
        <v>210</v>
      </c>
      <c r="B61" s="1" t="s">
        <v>211</v>
      </c>
      <c r="C61" s="8">
        <v>45995</v>
      </c>
      <c r="D61" s="1" t="s">
        <v>33</v>
      </c>
      <c r="E61" s="1" t="s">
        <v>33</v>
      </c>
      <c r="F61" s="1" t="s">
        <v>24</v>
      </c>
      <c r="G61" s="1">
        <v>35</v>
      </c>
      <c r="H61" s="1" t="s">
        <v>50</v>
      </c>
      <c r="I61" s="1" t="s">
        <v>45</v>
      </c>
      <c r="J61" s="1" t="s">
        <v>146</v>
      </c>
      <c r="K61" s="14">
        <v>1</v>
      </c>
      <c r="L61" s="1">
        <v>1550</v>
      </c>
      <c r="M61" s="1">
        <v>25</v>
      </c>
      <c r="N61" s="1">
        <f>Table1[[#This Row],[Discount]]/100</f>
        <v>0.25</v>
      </c>
      <c r="O61" s="1">
        <v>387.5</v>
      </c>
      <c r="P61" s="1">
        <v>1162.5</v>
      </c>
      <c r="Q61" s="1">
        <v>232</v>
      </c>
      <c r="R61" s="1">
        <v>1394.5</v>
      </c>
      <c r="S61" s="1" t="s">
        <v>52</v>
      </c>
      <c r="T61" s="1" t="s">
        <v>29</v>
      </c>
      <c r="U61" s="1" t="s">
        <v>30</v>
      </c>
      <c r="V61" s="11">
        <v>4</v>
      </c>
      <c r="W61" s="18">
        <v>3</v>
      </c>
    </row>
    <row r="62" spans="1:23" x14ac:dyDescent="0.25">
      <c r="A62" s="2" t="s">
        <v>212</v>
      </c>
      <c r="B62" s="1" t="s">
        <v>204</v>
      </c>
      <c r="C62" s="8">
        <v>45728</v>
      </c>
      <c r="D62" s="1" t="s">
        <v>78</v>
      </c>
      <c r="E62" s="1" t="s">
        <v>78</v>
      </c>
      <c r="F62" s="1" t="s">
        <v>24</v>
      </c>
      <c r="G62" s="1">
        <v>24</v>
      </c>
      <c r="H62" s="1" t="s">
        <v>50</v>
      </c>
      <c r="I62" s="1" t="s">
        <v>88</v>
      </c>
      <c r="J62" s="1" t="s">
        <v>213</v>
      </c>
      <c r="K62" s="14">
        <v>5</v>
      </c>
      <c r="L62" s="1">
        <v>3415</v>
      </c>
      <c r="M62" s="1">
        <v>25</v>
      </c>
      <c r="N62" s="1">
        <f>Table1[[#This Row],[Discount]]/100</f>
        <v>0.25</v>
      </c>
      <c r="O62" s="1">
        <v>4268.75</v>
      </c>
      <c r="P62" s="1">
        <v>12806.25</v>
      </c>
      <c r="Q62" s="1">
        <v>194</v>
      </c>
      <c r="R62" s="1">
        <v>13000.25</v>
      </c>
      <c r="S62" s="1" t="s">
        <v>38</v>
      </c>
      <c r="T62" s="1" t="s">
        <v>118</v>
      </c>
      <c r="U62" s="1" t="s">
        <v>53</v>
      </c>
      <c r="W62" s="18"/>
    </row>
    <row r="63" spans="1:23" x14ac:dyDescent="0.25">
      <c r="A63" s="2" t="s">
        <v>214</v>
      </c>
      <c r="B63" s="1" t="s">
        <v>215</v>
      </c>
      <c r="C63" s="8">
        <v>45845</v>
      </c>
      <c r="D63" s="1" t="s">
        <v>153</v>
      </c>
      <c r="E63" s="1" t="s">
        <v>153</v>
      </c>
      <c r="F63" s="1" t="s">
        <v>44</v>
      </c>
      <c r="G63" s="1">
        <v>50</v>
      </c>
      <c r="H63" s="1" t="s">
        <v>35</v>
      </c>
      <c r="I63" s="1" t="s">
        <v>58</v>
      </c>
      <c r="J63" s="1" t="s">
        <v>62</v>
      </c>
      <c r="K63" s="14">
        <v>2</v>
      </c>
      <c r="L63" s="1">
        <v>869</v>
      </c>
      <c r="M63" s="1">
        <v>5</v>
      </c>
      <c r="N63" s="1">
        <f>Table1[[#This Row],[Discount]]/100</f>
        <v>0.05</v>
      </c>
      <c r="O63" s="1">
        <v>86.9</v>
      </c>
      <c r="P63" s="1">
        <v>1651.1</v>
      </c>
      <c r="Q63" s="1">
        <v>244</v>
      </c>
      <c r="R63" s="1">
        <v>1895.1</v>
      </c>
      <c r="S63" s="1" t="s">
        <v>38</v>
      </c>
      <c r="T63" s="1" t="s">
        <v>118</v>
      </c>
      <c r="U63" s="1" t="s">
        <v>53</v>
      </c>
      <c r="W63" s="18"/>
    </row>
    <row r="64" spans="1:23" x14ac:dyDescent="0.25">
      <c r="A64" s="2" t="s">
        <v>216</v>
      </c>
      <c r="B64" s="1" t="s">
        <v>217</v>
      </c>
      <c r="C64" s="8">
        <v>45943</v>
      </c>
      <c r="D64" s="1" t="s">
        <v>140</v>
      </c>
      <c r="E64" s="1" t="s">
        <v>141</v>
      </c>
      <c r="F64" s="1" t="s">
        <v>44</v>
      </c>
      <c r="G64" s="1">
        <v>23</v>
      </c>
      <c r="H64" s="1" t="s">
        <v>50</v>
      </c>
      <c r="I64" s="1" t="s">
        <v>88</v>
      </c>
      <c r="J64" s="1" t="s">
        <v>207</v>
      </c>
      <c r="K64" s="14">
        <v>1</v>
      </c>
      <c r="L64" s="1">
        <v>2606</v>
      </c>
      <c r="M64" s="1">
        <v>25</v>
      </c>
      <c r="N64" s="1">
        <f>Table1[[#This Row],[Discount]]/100</f>
        <v>0.25</v>
      </c>
      <c r="O64" s="1">
        <v>651.5</v>
      </c>
      <c r="P64" s="1">
        <v>1954.5</v>
      </c>
      <c r="Q64" s="1">
        <v>121</v>
      </c>
      <c r="R64" s="1">
        <v>2075.5</v>
      </c>
      <c r="S64" s="1" t="s">
        <v>38</v>
      </c>
      <c r="T64" s="1" t="s">
        <v>29</v>
      </c>
      <c r="U64" s="1" t="s">
        <v>40</v>
      </c>
      <c r="V64" s="11">
        <v>3</v>
      </c>
      <c r="W64" s="18"/>
    </row>
    <row r="65" spans="1:23" x14ac:dyDescent="0.25">
      <c r="A65" s="2" t="s">
        <v>218</v>
      </c>
      <c r="B65" s="1" t="s">
        <v>219</v>
      </c>
      <c r="C65" s="8">
        <v>45945</v>
      </c>
      <c r="D65" s="1" t="s">
        <v>43</v>
      </c>
      <c r="E65" s="1" t="s">
        <v>43</v>
      </c>
      <c r="F65" s="1" t="s">
        <v>34</v>
      </c>
      <c r="G65" s="1">
        <v>57</v>
      </c>
      <c r="H65" s="1" t="s">
        <v>57</v>
      </c>
      <c r="I65" s="1" t="s">
        <v>45</v>
      </c>
      <c r="J65" s="1" t="s">
        <v>111</v>
      </c>
      <c r="K65" s="14">
        <v>3</v>
      </c>
      <c r="L65" s="1">
        <v>523</v>
      </c>
      <c r="M65" s="1">
        <v>15</v>
      </c>
      <c r="N65" s="1">
        <f>Table1[[#This Row],[Discount]]/100</f>
        <v>0.15</v>
      </c>
      <c r="O65" s="1">
        <v>235.35</v>
      </c>
      <c r="P65" s="1">
        <v>1333.65</v>
      </c>
      <c r="Q65" s="1">
        <v>246</v>
      </c>
      <c r="R65" s="1">
        <v>1579.65</v>
      </c>
      <c r="S65" s="1" t="s">
        <v>66</v>
      </c>
      <c r="T65" s="1" t="s">
        <v>118</v>
      </c>
      <c r="U65" s="1" t="s">
        <v>30</v>
      </c>
      <c r="V65" s="11">
        <v>3</v>
      </c>
      <c r="W65" s="18">
        <v>3.5</v>
      </c>
    </row>
    <row r="66" spans="1:23" x14ac:dyDescent="0.25">
      <c r="A66" s="2" t="s">
        <v>220</v>
      </c>
      <c r="B66" s="1" t="s">
        <v>49</v>
      </c>
      <c r="C66" s="8">
        <v>45856</v>
      </c>
      <c r="D66" s="1" t="s">
        <v>23</v>
      </c>
      <c r="E66" s="1" t="s">
        <v>23</v>
      </c>
      <c r="F66" s="1" t="s">
        <v>24</v>
      </c>
      <c r="G66" s="1">
        <v>41</v>
      </c>
      <c r="H66" s="1" t="s">
        <v>25</v>
      </c>
      <c r="I66" s="1" t="s">
        <v>45</v>
      </c>
      <c r="J66" s="1" t="s">
        <v>46</v>
      </c>
      <c r="K66" s="14">
        <v>2</v>
      </c>
      <c r="L66" s="1">
        <v>2097</v>
      </c>
      <c r="M66" s="1">
        <v>5</v>
      </c>
      <c r="N66" s="1">
        <f>Table1[[#This Row],[Discount]]/100</f>
        <v>0.05</v>
      </c>
      <c r="O66" s="1">
        <v>209.7</v>
      </c>
      <c r="P66" s="1">
        <v>3984.3</v>
      </c>
      <c r="Q66" s="1">
        <v>54</v>
      </c>
      <c r="R66" s="1">
        <v>4038.3</v>
      </c>
      <c r="S66" s="1" t="s">
        <v>93</v>
      </c>
      <c r="T66" s="1" t="s">
        <v>29</v>
      </c>
      <c r="U66" s="1" t="s">
        <v>80</v>
      </c>
      <c r="W66" s="18"/>
    </row>
    <row r="67" spans="1:23" x14ac:dyDescent="0.25">
      <c r="A67" s="2" t="s">
        <v>221</v>
      </c>
      <c r="B67" s="1" t="s">
        <v>222</v>
      </c>
      <c r="C67" s="8">
        <v>45778</v>
      </c>
      <c r="D67" s="1" t="s">
        <v>102</v>
      </c>
      <c r="E67" s="1" t="s">
        <v>103</v>
      </c>
      <c r="F67" s="1" t="s">
        <v>44</v>
      </c>
      <c r="G67" s="1">
        <v>41</v>
      </c>
      <c r="H67" s="1" t="s">
        <v>25</v>
      </c>
      <c r="I67" s="1" t="s">
        <v>36</v>
      </c>
      <c r="J67" s="1" t="s">
        <v>159</v>
      </c>
      <c r="K67" s="14">
        <v>4</v>
      </c>
      <c r="L67" s="1">
        <v>6054</v>
      </c>
      <c r="M67" s="1">
        <v>10</v>
      </c>
      <c r="N67" s="1">
        <f>Table1[[#This Row],[Discount]]/100</f>
        <v>0.1</v>
      </c>
      <c r="O67" s="1">
        <v>2421.6</v>
      </c>
      <c r="P67" s="1">
        <v>21794.400000000001</v>
      </c>
      <c r="Q67" s="1">
        <v>133</v>
      </c>
      <c r="R67" s="1">
        <v>21927.4</v>
      </c>
      <c r="S67" s="1" t="s">
        <v>66</v>
      </c>
      <c r="T67" s="1" t="s">
        <v>118</v>
      </c>
      <c r="U67" s="1" t="s">
        <v>30</v>
      </c>
      <c r="V67" s="11">
        <v>7</v>
      </c>
      <c r="W67" s="18">
        <v>3</v>
      </c>
    </row>
    <row r="68" spans="1:23" x14ac:dyDescent="0.25">
      <c r="A68" s="2" t="s">
        <v>223</v>
      </c>
      <c r="B68" s="1" t="s">
        <v>224</v>
      </c>
      <c r="C68" s="8">
        <v>45828</v>
      </c>
      <c r="D68" s="1" t="s">
        <v>153</v>
      </c>
      <c r="E68" s="1" t="s">
        <v>153</v>
      </c>
      <c r="F68" s="1" t="s">
        <v>24</v>
      </c>
      <c r="G68" s="1">
        <v>26</v>
      </c>
      <c r="H68" s="1" t="s">
        <v>35</v>
      </c>
      <c r="I68" s="1" t="s">
        <v>45</v>
      </c>
      <c r="J68" s="1" t="s">
        <v>111</v>
      </c>
      <c r="K68" s="14">
        <v>2</v>
      </c>
      <c r="L68" s="1">
        <v>948</v>
      </c>
      <c r="M68" s="1">
        <v>20</v>
      </c>
      <c r="N68" s="1">
        <f>Table1[[#This Row],[Discount]]/100</f>
        <v>0.2</v>
      </c>
      <c r="O68" s="1">
        <v>379.2</v>
      </c>
      <c r="P68" s="1">
        <v>1516.8</v>
      </c>
      <c r="Q68" s="1">
        <v>32</v>
      </c>
      <c r="R68" s="1">
        <v>1548.8</v>
      </c>
      <c r="S68" s="1" t="s">
        <v>28</v>
      </c>
      <c r="T68" s="1" t="s">
        <v>29</v>
      </c>
      <c r="U68" s="1" t="s">
        <v>70</v>
      </c>
      <c r="W68" s="18"/>
    </row>
    <row r="69" spans="1:23" x14ac:dyDescent="0.25">
      <c r="A69" s="2" t="s">
        <v>225</v>
      </c>
      <c r="B69" s="1" t="s">
        <v>226</v>
      </c>
      <c r="C69" s="8">
        <v>45747</v>
      </c>
      <c r="D69" s="1" t="s">
        <v>33</v>
      </c>
      <c r="E69" s="1" t="s">
        <v>33</v>
      </c>
      <c r="F69" s="1" t="s">
        <v>34</v>
      </c>
      <c r="G69" s="1">
        <v>60</v>
      </c>
      <c r="H69" s="1" t="s">
        <v>69</v>
      </c>
      <c r="I69" s="1" t="s">
        <v>58</v>
      </c>
      <c r="J69" s="1" t="s">
        <v>59</v>
      </c>
      <c r="K69" s="14">
        <v>2</v>
      </c>
      <c r="L69" s="1">
        <v>3666</v>
      </c>
      <c r="M69" s="1">
        <v>5</v>
      </c>
      <c r="N69" s="1">
        <f>Table1[[#This Row],[Discount]]/100</f>
        <v>0.05</v>
      </c>
      <c r="O69" s="1">
        <v>366.6</v>
      </c>
      <c r="P69" s="1">
        <v>6965.4</v>
      </c>
      <c r="Q69" s="1">
        <v>224</v>
      </c>
      <c r="R69" s="1">
        <v>7189.4</v>
      </c>
      <c r="S69" s="1" t="s">
        <v>47</v>
      </c>
      <c r="T69" s="1" t="s">
        <v>29</v>
      </c>
      <c r="U69" s="1" t="s">
        <v>30</v>
      </c>
      <c r="V69" s="11">
        <v>1</v>
      </c>
      <c r="W69" s="18">
        <v>3</v>
      </c>
    </row>
    <row r="70" spans="1:23" x14ac:dyDescent="0.25">
      <c r="A70" s="2" t="s">
        <v>227</v>
      </c>
      <c r="B70" s="1" t="s">
        <v>228</v>
      </c>
      <c r="C70" s="8">
        <v>45843</v>
      </c>
      <c r="D70" s="1" t="s">
        <v>83</v>
      </c>
      <c r="E70" s="1" t="s">
        <v>83</v>
      </c>
      <c r="F70" s="1" t="s">
        <v>24</v>
      </c>
      <c r="G70" s="1">
        <v>55</v>
      </c>
      <c r="H70" s="1" t="s">
        <v>35</v>
      </c>
      <c r="I70" s="1" t="s">
        <v>26</v>
      </c>
      <c r="J70" s="1" t="s">
        <v>51</v>
      </c>
      <c r="K70" s="14">
        <v>3</v>
      </c>
      <c r="L70" s="1">
        <v>7668</v>
      </c>
      <c r="M70" s="1">
        <v>0</v>
      </c>
      <c r="N70" s="1">
        <f>Table1[[#This Row],[Discount]]/100</f>
        <v>0</v>
      </c>
      <c r="O70" s="1">
        <v>0</v>
      </c>
      <c r="P70" s="1">
        <v>23004</v>
      </c>
      <c r="Q70" s="1">
        <v>219</v>
      </c>
      <c r="R70" s="1">
        <v>23223</v>
      </c>
      <c r="S70" s="1" t="s">
        <v>52</v>
      </c>
      <c r="T70" s="1" t="s">
        <v>39</v>
      </c>
      <c r="U70" s="1" t="s">
        <v>30</v>
      </c>
      <c r="V70" s="11">
        <v>5</v>
      </c>
      <c r="W70" s="18">
        <v>3</v>
      </c>
    </row>
    <row r="71" spans="1:23" x14ac:dyDescent="0.25">
      <c r="A71" s="2" t="s">
        <v>229</v>
      </c>
      <c r="B71" s="1" t="s">
        <v>230</v>
      </c>
      <c r="C71" s="8">
        <v>45909</v>
      </c>
      <c r="D71" s="1" t="s">
        <v>102</v>
      </c>
      <c r="E71" s="1" t="s">
        <v>103</v>
      </c>
      <c r="F71" s="1" t="s">
        <v>34</v>
      </c>
      <c r="G71" s="1">
        <v>46</v>
      </c>
      <c r="H71" s="1" t="s">
        <v>69</v>
      </c>
      <c r="I71" s="1" t="s">
        <v>36</v>
      </c>
      <c r="J71" s="1" t="s">
        <v>37</v>
      </c>
      <c r="K71" s="14">
        <v>3</v>
      </c>
      <c r="L71" s="1">
        <v>7341</v>
      </c>
      <c r="M71" s="1">
        <v>15</v>
      </c>
      <c r="N71" s="1">
        <f>Table1[[#This Row],[Discount]]/100</f>
        <v>0.15</v>
      </c>
      <c r="O71" s="1">
        <v>3303.45</v>
      </c>
      <c r="P71" s="1">
        <v>18719.55</v>
      </c>
      <c r="Q71" s="1">
        <v>47</v>
      </c>
      <c r="R71" s="1">
        <v>18766.55</v>
      </c>
      <c r="S71" s="1" t="s">
        <v>52</v>
      </c>
      <c r="T71" s="1" t="s">
        <v>39</v>
      </c>
      <c r="U71" s="1" t="s">
        <v>30</v>
      </c>
      <c r="V71" s="11">
        <v>6</v>
      </c>
      <c r="W71" s="18">
        <v>3</v>
      </c>
    </row>
    <row r="72" spans="1:23" x14ac:dyDescent="0.25">
      <c r="A72" s="2" t="s">
        <v>231</v>
      </c>
      <c r="B72" s="1" t="s">
        <v>72</v>
      </c>
      <c r="C72" s="8">
        <v>46017</v>
      </c>
      <c r="D72" s="1" t="s">
        <v>43</v>
      </c>
      <c r="E72" s="1" t="s">
        <v>43</v>
      </c>
      <c r="F72" s="1" t="s">
        <v>24</v>
      </c>
      <c r="G72" s="1">
        <v>59</v>
      </c>
      <c r="H72" s="1" t="s">
        <v>35</v>
      </c>
      <c r="I72" s="1" t="s">
        <v>74</v>
      </c>
      <c r="J72" s="1" t="s">
        <v>97</v>
      </c>
      <c r="K72" s="14">
        <v>5</v>
      </c>
      <c r="L72" s="1">
        <v>3063</v>
      </c>
      <c r="M72" s="1">
        <v>20</v>
      </c>
      <c r="N72" s="1">
        <f>Table1[[#This Row],[Discount]]/100</f>
        <v>0.2</v>
      </c>
      <c r="O72" s="1">
        <v>3063</v>
      </c>
      <c r="P72" s="1">
        <v>12252</v>
      </c>
      <c r="Q72" s="1">
        <v>45</v>
      </c>
      <c r="R72" s="1">
        <v>12297</v>
      </c>
      <c r="S72" s="1" t="s">
        <v>93</v>
      </c>
      <c r="T72" s="1" t="s">
        <v>118</v>
      </c>
      <c r="U72" s="1" t="s">
        <v>30</v>
      </c>
      <c r="V72" s="11">
        <v>1</v>
      </c>
      <c r="W72" s="18">
        <v>5</v>
      </c>
    </row>
    <row r="73" spans="1:23" x14ac:dyDescent="0.25">
      <c r="A73" s="2" t="s">
        <v>232</v>
      </c>
      <c r="B73" s="1" t="s">
        <v>233</v>
      </c>
      <c r="C73" s="8">
        <v>45736</v>
      </c>
      <c r="D73" s="1" t="s">
        <v>107</v>
      </c>
      <c r="E73" s="1" t="s">
        <v>107</v>
      </c>
      <c r="F73" s="1" t="s">
        <v>34</v>
      </c>
      <c r="G73" s="1">
        <v>48</v>
      </c>
      <c r="H73" s="1" t="s">
        <v>50</v>
      </c>
      <c r="I73" s="1" t="s">
        <v>74</v>
      </c>
      <c r="J73" s="1" t="s">
        <v>172</v>
      </c>
      <c r="K73" s="14">
        <v>3</v>
      </c>
      <c r="L73" s="1">
        <v>3666</v>
      </c>
      <c r="M73" s="1">
        <v>10</v>
      </c>
      <c r="N73" s="1">
        <f>Table1[[#This Row],[Discount]]/100</f>
        <v>0.1</v>
      </c>
      <c r="O73" s="1">
        <v>1099.8</v>
      </c>
      <c r="P73" s="1">
        <v>9898.2000000000007</v>
      </c>
      <c r="Q73" s="1">
        <v>115</v>
      </c>
      <c r="R73" s="1">
        <v>10013.200000000001</v>
      </c>
      <c r="S73" s="1" t="s">
        <v>28</v>
      </c>
      <c r="T73" s="1" t="s">
        <v>118</v>
      </c>
      <c r="U73" s="1" t="s">
        <v>40</v>
      </c>
      <c r="V73" s="11">
        <v>6</v>
      </c>
      <c r="W73" s="18"/>
    </row>
    <row r="74" spans="1:23" x14ac:dyDescent="0.25">
      <c r="A74" s="2" t="s">
        <v>234</v>
      </c>
      <c r="B74" s="1" t="s">
        <v>235</v>
      </c>
      <c r="C74" s="8">
        <v>45998</v>
      </c>
      <c r="D74" s="1" t="s">
        <v>43</v>
      </c>
      <c r="E74" s="1" t="s">
        <v>43</v>
      </c>
      <c r="F74" s="1" t="s">
        <v>44</v>
      </c>
      <c r="G74" s="1">
        <v>45</v>
      </c>
      <c r="H74" s="1" t="s">
        <v>25</v>
      </c>
      <c r="I74" s="1" t="s">
        <v>36</v>
      </c>
      <c r="J74" s="1" t="s">
        <v>156</v>
      </c>
      <c r="K74" s="14">
        <v>2</v>
      </c>
      <c r="L74" s="1">
        <v>3100</v>
      </c>
      <c r="M74" s="1">
        <v>25</v>
      </c>
      <c r="N74" s="1">
        <f>Table1[[#This Row],[Discount]]/100</f>
        <v>0.25</v>
      </c>
      <c r="O74" s="1">
        <v>1550</v>
      </c>
      <c r="P74" s="1">
        <v>4650</v>
      </c>
      <c r="Q74" s="1">
        <v>110</v>
      </c>
      <c r="R74" s="1">
        <v>4760</v>
      </c>
      <c r="S74" s="1" t="s">
        <v>38</v>
      </c>
      <c r="T74" s="1" t="s">
        <v>118</v>
      </c>
      <c r="U74" s="1" t="s">
        <v>30</v>
      </c>
      <c r="V74" s="11">
        <v>7</v>
      </c>
      <c r="W74" s="18">
        <v>5</v>
      </c>
    </row>
    <row r="75" spans="1:23" x14ac:dyDescent="0.25">
      <c r="A75" s="2" t="s">
        <v>236</v>
      </c>
      <c r="B75" s="1" t="s">
        <v>237</v>
      </c>
      <c r="C75" s="8">
        <v>45716</v>
      </c>
      <c r="D75" s="1" t="s">
        <v>43</v>
      </c>
      <c r="E75" s="1" t="s">
        <v>43</v>
      </c>
      <c r="F75" s="1" t="s">
        <v>34</v>
      </c>
      <c r="G75" s="1">
        <v>35</v>
      </c>
      <c r="H75" s="1" t="s">
        <v>57</v>
      </c>
      <c r="I75" s="1" t="s">
        <v>58</v>
      </c>
      <c r="J75" s="1" t="s">
        <v>114</v>
      </c>
      <c r="K75" s="14">
        <v>2</v>
      </c>
      <c r="L75" s="1">
        <v>3620</v>
      </c>
      <c r="M75" s="1">
        <v>10</v>
      </c>
      <c r="N75" s="1">
        <f>Table1[[#This Row],[Discount]]/100</f>
        <v>0.1</v>
      </c>
      <c r="O75" s="1">
        <v>724</v>
      </c>
      <c r="P75" s="1">
        <v>6516</v>
      </c>
      <c r="Q75" s="1">
        <v>114</v>
      </c>
      <c r="R75" s="1">
        <v>6630</v>
      </c>
      <c r="S75" s="1" t="s">
        <v>52</v>
      </c>
      <c r="T75" s="1" t="s">
        <v>29</v>
      </c>
      <c r="U75" s="1" t="s">
        <v>53</v>
      </c>
      <c r="W75" s="18"/>
    </row>
    <row r="76" spans="1:23" x14ac:dyDescent="0.25">
      <c r="A76" s="2" t="s">
        <v>238</v>
      </c>
      <c r="B76" s="1" t="s">
        <v>211</v>
      </c>
      <c r="C76" s="8">
        <v>45661</v>
      </c>
      <c r="D76" s="1" t="s">
        <v>73</v>
      </c>
      <c r="E76" s="1" t="s">
        <v>73</v>
      </c>
      <c r="F76" s="1" t="s">
        <v>24</v>
      </c>
      <c r="G76" s="1">
        <v>27</v>
      </c>
      <c r="H76" s="1" t="s">
        <v>57</v>
      </c>
      <c r="I76" s="1" t="s">
        <v>36</v>
      </c>
      <c r="J76" s="1" t="s">
        <v>37</v>
      </c>
      <c r="K76" s="14">
        <v>1</v>
      </c>
      <c r="L76" s="1">
        <v>6645</v>
      </c>
      <c r="M76" s="1">
        <v>10</v>
      </c>
      <c r="N76" s="1">
        <f>Table1[[#This Row],[Discount]]/100</f>
        <v>0.1</v>
      </c>
      <c r="O76" s="1">
        <v>664.5</v>
      </c>
      <c r="P76" s="1">
        <v>5980.5</v>
      </c>
      <c r="Q76" s="1">
        <v>109</v>
      </c>
      <c r="R76" s="1">
        <v>6089.5</v>
      </c>
      <c r="S76" s="1" t="s">
        <v>28</v>
      </c>
      <c r="T76" s="1" t="s">
        <v>39</v>
      </c>
      <c r="U76" s="1" t="s">
        <v>80</v>
      </c>
      <c r="W76" s="18"/>
    </row>
    <row r="77" spans="1:23" x14ac:dyDescent="0.25">
      <c r="A77" s="2" t="s">
        <v>239</v>
      </c>
      <c r="B77" s="1" t="s">
        <v>240</v>
      </c>
      <c r="C77" s="8">
        <v>45824</v>
      </c>
      <c r="D77" s="1" t="s">
        <v>102</v>
      </c>
      <c r="E77" s="1" t="s">
        <v>103</v>
      </c>
      <c r="F77" s="1" t="s">
        <v>34</v>
      </c>
      <c r="G77" s="1">
        <v>54</v>
      </c>
      <c r="H77" s="1" t="s">
        <v>35</v>
      </c>
      <c r="I77" s="1" t="s">
        <v>36</v>
      </c>
      <c r="J77" s="1" t="s">
        <v>177</v>
      </c>
      <c r="K77" s="14">
        <v>1</v>
      </c>
      <c r="L77" s="1">
        <v>3192</v>
      </c>
      <c r="M77" s="1">
        <v>5</v>
      </c>
      <c r="N77" s="1">
        <f>Table1[[#This Row],[Discount]]/100</f>
        <v>0.05</v>
      </c>
      <c r="O77" s="1">
        <v>159.6</v>
      </c>
      <c r="P77" s="1">
        <v>3032.4</v>
      </c>
      <c r="Q77" s="1">
        <v>204</v>
      </c>
      <c r="R77" s="1">
        <v>3236.4</v>
      </c>
      <c r="S77" s="1" t="s">
        <v>47</v>
      </c>
      <c r="T77" s="1" t="s">
        <v>29</v>
      </c>
      <c r="U77" s="1" t="s">
        <v>30</v>
      </c>
      <c r="V77" s="11">
        <v>7</v>
      </c>
      <c r="W77" s="18">
        <v>4.5</v>
      </c>
    </row>
    <row r="78" spans="1:23" x14ac:dyDescent="0.25">
      <c r="A78" s="2" t="s">
        <v>241</v>
      </c>
      <c r="B78" s="1" t="s">
        <v>242</v>
      </c>
      <c r="C78" s="8">
        <v>45920</v>
      </c>
      <c r="D78" s="1" t="s">
        <v>153</v>
      </c>
      <c r="E78" s="1" t="s">
        <v>153</v>
      </c>
      <c r="F78" s="1" t="s">
        <v>44</v>
      </c>
      <c r="G78" s="1">
        <v>40</v>
      </c>
      <c r="H78" s="1" t="s">
        <v>25</v>
      </c>
      <c r="I78" s="1" t="s">
        <v>36</v>
      </c>
      <c r="J78" s="1" t="s">
        <v>177</v>
      </c>
      <c r="K78" s="14">
        <v>3</v>
      </c>
      <c r="L78" s="1">
        <v>4021</v>
      </c>
      <c r="M78" s="1">
        <v>15</v>
      </c>
      <c r="N78" s="1">
        <f>Table1[[#This Row],[Discount]]/100</f>
        <v>0.15</v>
      </c>
      <c r="O78" s="1">
        <v>1809.45</v>
      </c>
      <c r="P78" s="1">
        <v>10253.549999999999</v>
      </c>
      <c r="Q78" s="1">
        <v>213</v>
      </c>
      <c r="R78" s="1">
        <v>10466.549999999999</v>
      </c>
      <c r="S78" s="1" t="s">
        <v>93</v>
      </c>
      <c r="T78" s="1" t="s">
        <v>29</v>
      </c>
      <c r="U78" s="1" t="s">
        <v>30</v>
      </c>
      <c r="V78" s="11">
        <v>1</v>
      </c>
      <c r="W78" s="18">
        <v>4</v>
      </c>
    </row>
    <row r="79" spans="1:23" x14ac:dyDescent="0.25">
      <c r="A79" s="2" t="s">
        <v>243</v>
      </c>
      <c r="B79" s="1" t="s">
        <v>169</v>
      </c>
      <c r="C79" s="8">
        <v>45788</v>
      </c>
      <c r="D79" s="1" t="s">
        <v>23</v>
      </c>
      <c r="E79" s="1" t="s">
        <v>23</v>
      </c>
      <c r="F79" s="1" t="s">
        <v>34</v>
      </c>
      <c r="G79" s="1">
        <v>38</v>
      </c>
      <c r="H79" s="1" t="s">
        <v>57</v>
      </c>
      <c r="I79" s="1" t="s">
        <v>88</v>
      </c>
      <c r="J79" s="1" t="s">
        <v>89</v>
      </c>
      <c r="K79" s="14">
        <v>2</v>
      </c>
      <c r="L79" s="1">
        <v>1197</v>
      </c>
      <c r="M79" s="1">
        <v>5</v>
      </c>
      <c r="N79" s="1">
        <f>Table1[[#This Row],[Discount]]/100</f>
        <v>0.05</v>
      </c>
      <c r="O79" s="1">
        <v>119.7</v>
      </c>
      <c r="P79" s="1">
        <v>2274.3000000000002</v>
      </c>
      <c r="Q79" s="1">
        <v>215</v>
      </c>
      <c r="R79" s="1">
        <v>2489.3000000000002</v>
      </c>
      <c r="S79" s="1" t="s">
        <v>66</v>
      </c>
      <c r="T79" s="1" t="s">
        <v>118</v>
      </c>
      <c r="U79" s="1" t="s">
        <v>53</v>
      </c>
      <c r="W79" s="18"/>
    </row>
    <row r="80" spans="1:23" x14ac:dyDescent="0.25">
      <c r="A80" s="2" t="s">
        <v>244</v>
      </c>
      <c r="B80" s="1" t="s">
        <v>61</v>
      </c>
      <c r="C80" s="8">
        <v>45893</v>
      </c>
      <c r="D80" s="1" t="s">
        <v>56</v>
      </c>
      <c r="E80" s="1" t="s">
        <v>56</v>
      </c>
      <c r="F80" s="1" t="s">
        <v>24</v>
      </c>
      <c r="G80" s="1">
        <v>38</v>
      </c>
      <c r="H80" s="1" t="s">
        <v>57</v>
      </c>
      <c r="I80" s="1" t="s">
        <v>74</v>
      </c>
      <c r="J80" s="1" t="s">
        <v>172</v>
      </c>
      <c r="K80" s="14">
        <v>5</v>
      </c>
      <c r="L80" s="1">
        <v>4498</v>
      </c>
      <c r="M80" s="1">
        <v>25</v>
      </c>
      <c r="N80" s="1">
        <f>Table1[[#This Row],[Discount]]/100</f>
        <v>0.25</v>
      </c>
      <c r="O80" s="1">
        <v>5622.5</v>
      </c>
      <c r="P80" s="1">
        <v>16867.5</v>
      </c>
      <c r="Q80" s="1">
        <v>24</v>
      </c>
      <c r="R80" s="1">
        <v>16891.5</v>
      </c>
      <c r="S80" s="1" t="s">
        <v>66</v>
      </c>
      <c r="T80" s="1" t="s">
        <v>29</v>
      </c>
      <c r="U80" s="1" t="s">
        <v>30</v>
      </c>
      <c r="V80" s="11">
        <v>1</v>
      </c>
      <c r="W80" s="18">
        <v>4.5</v>
      </c>
    </row>
    <row r="81" spans="1:23" x14ac:dyDescent="0.25">
      <c r="A81" s="2" t="s">
        <v>245</v>
      </c>
      <c r="B81" s="1" t="s">
        <v>246</v>
      </c>
      <c r="C81" s="8">
        <v>45712</v>
      </c>
      <c r="D81" s="1" t="s">
        <v>96</v>
      </c>
      <c r="E81" s="1" t="s">
        <v>96</v>
      </c>
      <c r="F81" s="1" t="s">
        <v>24</v>
      </c>
      <c r="G81" s="1">
        <v>45</v>
      </c>
      <c r="H81" s="1" t="s">
        <v>50</v>
      </c>
      <c r="I81" s="1" t="s">
        <v>88</v>
      </c>
      <c r="J81" s="1" t="s">
        <v>89</v>
      </c>
      <c r="K81" s="14">
        <v>4</v>
      </c>
      <c r="L81" s="1">
        <v>3115</v>
      </c>
      <c r="M81" s="1">
        <v>10</v>
      </c>
      <c r="N81" s="1">
        <f>Table1[[#This Row],[Discount]]/100</f>
        <v>0.1</v>
      </c>
      <c r="O81" s="1">
        <v>1246</v>
      </c>
      <c r="P81" s="1">
        <v>11214</v>
      </c>
      <c r="Q81" s="1">
        <v>236</v>
      </c>
      <c r="R81" s="1">
        <v>11450</v>
      </c>
      <c r="S81" s="1" t="s">
        <v>93</v>
      </c>
      <c r="T81" s="1" t="s">
        <v>118</v>
      </c>
      <c r="U81" s="1" t="s">
        <v>30</v>
      </c>
      <c r="V81" s="11">
        <v>2</v>
      </c>
      <c r="W81" s="18">
        <v>4.5</v>
      </c>
    </row>
    <row r="82" spans="1:23" x14ac:dyDescent="0.25">
      <c r="A82" s="2" t="s">
        <v>247</v>
      </c>
      <c r="B82" s="1" t="s">
        <v>248</v>
      </c>
      <c r="C82" s="8">
        <v>45837</v>
      </c>
      <c r="D82" s="1" t="s">
        <v>102</v>
      </c>
      <c r="E82" s="1" t="s">
        <v>103</v>
      </c>
      <c r="F82" s="1" t="s">
        <v>34</v>
      </c>
      <c r="G82" s="1">
        <v>59</v>
      </c>
      <c r="H82" s="1" t="s">
        <v>35</v>
      </c>
      <c r="I82" s="1" t="s">
        <v>88</v>
      </c>
      <c r="J82" s="1" t="s">
        <v>213</v>
      </c>
      <c r="K82" s="14">
        <v>3</v>
      </c>
      <c r="L82" s="1">
        <v>8663</v>
      </c>
      <c r="M82" s="1">
        <v>5</v>
      </c>
      <c r="N82" s="1">
        <f>Table1[[#This Row],[Discount]]/100</f>
        <v>0.05</v>
      </c>
      <c r="O82" s="1">
        <v>1299.45</v>
      </c>
      <c r="P82" s="1">
        <v>24689.55</v>
      </c>
      <c r="Q82" s="1">
        <v>109</v>
      </c>
      <c r="R82" s="1">
        <v>24798.55</v>
      </c>
      <c r="S82" s="1" t="s">
        <v>28</v>
      </c>
      <c r="T82" s="1" t="s">
        <v>39</v>
      </c>
      <c r="U82" s="1" t="s">
        <v>80</v>
      </c>
      <c r="W82" s="18"/>
    </row>
    <row r="83" spans="1:23" x14ac:dyDescent="0.25">
      <c r="A83" s="2" t="s">
        <v>249</v>
      </c>
      <c r="B83" s="1" t="s">
        <v>250</v>
      </c>
      <c r="C83" s="8">
        <v>45954</v>
      </c>
      <c r="D83" s="1" t="s">
        <v>110</v>
      </c>
      <c r="E83" s="1" t="s">
        <v>110</v>
      </c>
      <c r="F83" s="1" t="s">
        <v>24</v>
      </c>
      <c r="G83" s="1">
        <v>54</v>
      </c>
      <c r="H83" s="1" t="s">
        <v>69</v>
      </c>
      <c r="I83" s="1" t="s">
        <v>74</v>
      </c>
      <c r="J83" s="1" t="s">
        <v>75</v>
      </c>
      <c r="K83" s="14">
        <v>5</v>
      </c>
      <c r="L83" s="1">
        <v>5769</v>
      </c>
      <c r="M83" s="1">
        <v>15</v>
      </c>
      <c r="N83" s="1">
        <f>Table1[[#This Row],[Discount]]/100</f>
        <v>0.15</v>
      </c>
      <c r="O83" s="1">
        <v>4326.75</v>
      </c>
      <c r="P83" s="1">
        <v>24518.25</v>
      </c>
      <c r="Q83" s="1">
        <v>164</v>
      </c>
      <c r="R83" s="1">
        <v>24682.25</v>
      </c>
      <c r="S83" s="1" t="s">
        <v>66</v>
      </c>
      <c r="T83" s="1" t="s">
        <v>118</v>
      </c>
      <c r="U83" s="1" t="s">
        <v>30</v>
      </c>
      <c r="V83" s="11">
        <v>4</v>
      </c>
      <c r="W83" s="18">
        <v>5</v>
      </c>
    </row>
    <row r="84" spans="1:23" x14ac:dyDescent="0.25">
      <c r="A84" s="2" t="s">
        <v>251</v>
      </c>
      <c r="B84" s="1" t="s">
        <v>252</v>
      </c>
      <c r="C84" s="8">
        <v>45894</v>
      </c>
      <c r="D84" s="1" t="s">
        <v>56</v>
      </c>
      <c r="E84" s="1" t="s">
        <v>56</v>
      </c>
      <c r="F84" s="1" t="s">
        <v>44</v>
      </c>
      <c r="G84" s="1">
        <v>20</v>
      </c>
      <c r="H84" s="1" t="s">
        <v>50</v>
      </c>
      <c r="I84" s="1" t="s">
        <v>45</v>
      </c>
      <c r="J84" s="1" t="s">
        <v>46</v>
      </c>
      <c r="K84" s="14">
        <v>4</v>
      </c>
      <c r="L84" s="1">
        <v>1205</v>
      </c>
      <c r="M84" s="1">
        <v>10</v>
      </c>
      <c r="N84" s="1">
        <f>Table1[[#This Row],[Discount]]/100</f>
        <v>0.1</v>
      </c>
      <c r="O84" s="1">
        <v>482</v>
      </c>
      <c r="P84" s="1">
        <v>4338</v>
      </c>
      <c r="Q84" s="1">
        <v>99</v>
      </c>
      <c r="R84" s="1">
        <v>4437</v>
      </c>
      <c r="S84" s="1" t="s">
        <v>66</v>
      </c>
      <c r="T84" s="1" t="s">
        <v>39</v>
      </c>
      <c r="U84" s="1" t="s">
        <v>30</v>
      </c>
      <c r="V84" s="11">
        <v>4</v>
      </c>
      <c r="W84" s="18">
        <v>3</v>
      </c>
    </row>
    <row r="85" spans="1:23" x14ac:dyDescent="0.25">
      <c r="A85" s="2" t="s">
        <v>253</v>
      </c>
      <c r="B85" s="1" t="s">
        <v>254</v>
      </c>
      <c r="C85" s="8">
        <v>45967</v>
      </c>
      <c r="D85" s="1" t="s">
        <v>73</v>
      </c>
      <c r="E85" s="1" t="s">
        <v>73</v>
      </c>
      <c r="F85" s="1" t="s">
        <v>34</v>
      </c>
      <c r="G85" s="1">
        <v>50</v>
      </c>
      <c r="H85" s="1" t="s">
        <v>57</v>
      </c>
      <c r="I85" s="1" t="s">
        <v>58</v>
      </c>
      <c r="J85" s="1" t="s">
        <v>114</v>
      </c>
      <c r="K85" s="14">
        <v>4</v>
      </c>
      <c r="L85" s="1">
        <v>1992</v>
      </c>
      <c r="M85" s="1">
        <v>20</v>
      </c>
      <c r="N85" s="1">
        <f>Table1[[#This Row],[Discount]]/100</f>
        <v>0.2</v>
      </c>
      <c r="O85" s="1">
        <v>1593.6</v>
      </c>
      <c r="P85" s="1">
        <v>6374.4</v>
      </c>
      <c r="Q85" s="1">
        <v>102</v>
      </c>
      <c r="R85" s="1">
        <v>6476.4</v>
      </c>
      <c r="S85" s="1" t="s">
        <v>28</v>
      </c>
      <c r="T85" s="1" t="s">
        <v>118</v>
      </c>
      <c r="U85" s="1" t="s">
        <v>40</v>
      </c>
      <c r="V85" s="11">
        <v>4</v>
      </c>
      <c r="W85" s="18"/>
    </row>
    <row r="86" spans="1:23" x14ac:dyDescent="0.25">
      <c r="A86" s="2" t="s">
        <v>255</v>
      </c>
      <c r="B86" s="1" t="s">
        <v>256</v>
      </c>
      <c r="C86" s="8">
        <v>45802</v>
      </c>
      <c r="D86" s="1" t="s">
        <v>102</v>
      </c>
      <c r="E86" s="1" t="s">
        <v>103</v>
      </c>
      <c r="F86" s="1" t="s">
        <v>24</v>
      </c>
      <c r="G86" s="1">
        <v>44</v>
      </c>
      <c r="H86" s="1" t="s">
        <v>50</v>
      </c>
      <c r="I86" s="1" t="s">
        <v>26</v>
      </c>
      <c r="J86" s="1" t="s">
        <v>79</v>
      </c>
      <c r="K86" s="14">
        <v>2</v>
      </c>
      <c r="L86" s="1">
        <v>5930</v>
      </c>
      <c r="M86" s="1">
        <v>20</v>
      </c>
      <c r="N86" s="1">
        <f>Table1[[#This Row],[Discount]]/100</f>
        <v>0.2</v>
      </c>
      <c r="O86" s="1">
        <v>2372</v>
      </c>
      <c r="P86" s="1">
        <v>9488</v>
      </c>
      <c r="Q86" s="1">
        <v>115</v>
      </c>
      <c r="R86" s="1">
        <v>9603</v>
      </c>
      <c r="S86" s="1" t="s">
        <v>66</v>
      </c>
      <c r="T86" s="1" t="s">
        <v>29</v>
      </c>
      <c r="U86" s="1" t="s">
        <v>30</v>
      </c>
      <c r="V86" s="11">
        <v>4</v>
      </c>
      <c r="W86" s="18">
        <v>4</v>
      </c>
    </row>
    <row r="87" spans="1:23" x14ac:dyDescent="0.25">
      <c r="A87" s="2" t="s">
        <v>257</v>
      </c>
      <c r="B87" s="1" t="s">
        <v>258</v>
      </c>
      <c r="C87" s="8">
        <v>45734</v>
      </c>
      <c r="D87" s="1" t="s">
        <v>83</v>
      </c>
      <c r="E87" s="1" t="s">
        <v>83</v>
      </c>
      <c r="F87" s="1" t="s">
        <v>24</v>
      </c>
      <c r="G87" s="1">
        <v>23</v>
      </c>
      <c r="H87" s="1" t="s">
        <v>35</v>
      </c>
      <c r="I87" s="1" t="s">
        <v>26</v>
      </c>
      <c r="J87" s="1" t="s">
        <v>198</v>
      </c>
      <c r="K87" s="14">
        <v>1</v>
      </c>
      <c r="L87" s="1">
        <v>73933</v>
      </c>
      <c r="M87" s="1">
        <v>25</v>
      </c>
      <c r="N87" s="1">
        <f>Table1[[#This Row],[Discount]]/100</f>
        <v>0.25</v>
      </c>
      <c r="O87" s="1">
        <v>18483.25</v>
      </c>
      <c r="P87" s="1">
        <v>55449.75</v>
      </c>
      <c r="Q87" s="1">
        <v>174</v>
      </c>
      <c r="R87" s="1">
        <v>55623.75</v>
      </c>
      <c r="S87" s="1" t="s">
        <v>38</v>
      </c>
      <c r="T87" s="1" t="s">
        <v>118</v>
      </c>
      <c r="U87" s="1" t="s">
        <v>70</v>
      </c>
      <c r="W87" s="18"/>
    </row>
    <row r="88" spans="1:23" x14ac:dyDescent="0.25">
      <c r="A88" s="2" t="s">
        <v>259</v>
      </c>
      <c r="B88" s="1" t="s">
        <v>260</v>
      </c>
      <c r="C88" s="8">
        <v>46017</v>
      </c>
      <c r="D88" s="1" t="s">
        <v>23</v>
      </c>
      <c r="E88" s="1" t="s">
        <v>23</v>
      </c>
      <c r="F88" s="1" t="s">
        <v>24</v>
      </c>
      <c r="G88" s="1">
        <v>51</v>
      </c>
      <c r="H88" s="1" t="s">
        <v>57</v>
      </c>
      <c r="I88" s="1" t="s">
        <v>36</v>
      </c>
      <c r="J88" s="1" t="s">
        <v>92</v>
      </c>
      <c r="K88" s="14">
        <v>2</v>
      </c>
      <c r="L88" s="1">
        <v>6885</v>
      </c>
      <c r="M88" s="1">
        <v>10</v>
      </c>
      <c r="N88" s="1">
        <f>Table1[[#This Row],[Discount]]/100</f>
        <v>0.1</v>
      </c>
      <c r="O88" s="1">
        <v>1377</v>
      </c>
      <c r="P88" s="1">
        <v>12393</v>
      </c>
      <c r="Q88" s="1">
        <v>191</v>
      </c>
      <c r="R88" s="1">
        <v>12584</v>
      </c>
      <c r="S88" s="1" t="s">
        <v>52</v>
      </c>
      <c r="T88" s="1" t="s">
        <v>118</v>
      </c>
      <c r="U88" s="1" t="s">
        <v>53</v>
      </c>
      <c r="W88" s="18"/>
    </row>
    <row r="89" spans="1:23" x14ac:dyDescent="0.25">
      <c r="A89" s="2" t="s">
        <v>261</v>
      </c>
      <c r="B89" s="1" t="s">
        <v>262</v>
      </c>
      <c r="C89" s="8">
        <v>45709</v>
      </c>
      <c r="D89" s="1" t="s">
        <v>153</v>
      </c>
      <c r="E89" s="1" t="s">
        <v>153</v>
      </c>
      <c r="F89" s="1" t="s">
        <v>24</v>
      </c>
      <c r="G89" s="1">
        <v>52</v>
      </c>
      <c r="H89" s="1" t="s">
        <v>50</v>
      </c>
      <c r="I89" s="1" t="s">
        <v>88</v>
      </c>
      <c r="J89" s="1" t="s">
        <v>207</v>
      </c>
      <c r="K89" s="14">
        <v>2</v>
      </c>
      <c r="L89" s="1">
        <v>8267</v>
      </c>
      <c r="M89" s="1">
        <v>5</v>
      </c>
      <c r="N89" s="1">
        <f>Table1[[#This Row],[Discount]]/100</f>
        <v>0.05</v>
      </c>
      <c r="O89" s="1">
        <v>826.7</v>
      </c>
      <c r="P89" s="1">
        <v>15707.3</v>
      </c>
      <c r="Q89" s="1">
        <v>236</v>
      </c>
      <c r="R89" s="1">
        <v>15943.3</v>
      </c>
      <c r="S89" s="1" t="s">
        <v>66</v>
      </c>
      <c r="T89" s="1" t="s">
        <v>118</v>
      </c>
      <c r="U89" s="1" t="s">
        <v>30</v>
      </c>
      <c r="V89" s="11">
        <v>5</v>
      </c>
      <c r="W89" s="18">
        <v>5</v>
      </c>
    </row>
    <row r="90" spans="1:23" x14ac:dyDescent="0.25">
      <c r="A90" s="2" t="s">
        <v>263</v>
      </c>
      <c r="B90" s="1" t="s">
        <v>264</v>
      </c>
      <c r="C90" s="8">
        <v>45882</v>
      </c>
      <c r="D90" s="1" t="s">
        <v>107</v>
      </c>
      <c r="E90" s="1" t="s">
        <v>107</v>
      </c>
      <c r="F90" s="1" t="s">
        <v>24</v>
      </c>
      <c r="G90" s="1">
        <v>44</v>
      </c>
      <c r="H90" s="1" t="s">
        <v>35</v>
      </c>
      <c r="I90" s="1" t="s">
        <v>58</v>
      </c>
      <c r="J90" s="1" t="s">
        <v>59</v>
      </c>
      <c r="K90" s="14">
        <v>5</v>
      </c>
      <c r="L90" s="1">
        <v>3555</v>
      </c>
      <c r="M90" s="1">
        <v>20</v>
      </c>
      <c r="N90" s="1">
        <f>Table1[[#This Row],[Discount]]/100</f>
        <v>0.2</v>
      </c>
      <c r="O90" s="1">
        <v>3555</v>
      </c>
      <c r="P90" s="1">
        <v>14220</v>
      </c>
      <c r="Q90" s="1">
        <v>62</v>
      </c>
      <c r="R90" s="1">
        <v>14282</v>
      </c>
      <c r="S90" s="1" t="s">
        <v>93</v>
      </c>
      <c r="T90" s="1" t="s">
        <v>29</v>
      </c>
      <c r="U90" s="1" t="s">
        <v>53</v>
      </c>
      <c r="W90" s="18"/>
    </row>
    <row r="91" spans="1:23" x14ac:dyDescent="0.25">
      <c r="A91" s="2" t="s">
        <v>265</v>
      </c>
      <c r="B91" s="1" t="s">
        <v>266</v>
      </c>
      <c r="C91" s="8">
        <v>45883</v>
      </c>
      <c r="D91" s="1" t="s">
        <v>110</v>
      </c>
      <c r="E91" s="1" t="s">
        <v>110</v>
      </c>
      <c r="F91" s="1" t="s">
        <v>24</v>
      </c>
      <c r="G91" s="1">
        <v>36</v>
      </c>
      <c r="H91" s="1" t="s">
        <v>57</v>
      </c>
      <c r="I91" s="1" t="s">
        <v>36</v>
      </c>
      <c r="J91" s="1" t="s">
        <v>92</v>
      </c>
      <c r="K91" s="14">
        <v>2</v>
      </c>
      <c r="L91" s="1">
        <v>7241</v>
      </c>
      <c r="M91" s="1">
        <v>5</v>
      </c>
      <c r="N91" s="1">
        <f>Table1[[#This Row],[Discount]]/100</f>
        <v>0.05</v>
      </c>
      <c r="O91" s="1">
        <v>724.1</v>
      </c>
      <c r="P91" s="1">
        <v>13757.9</v>
      </c>
      <c r="Q91" s="1">
        <v>166</v>
      </c>
      <c r="R91" s="1">
        <v>13923.9</v>
      </c>
      <c r="S91" s="1" t="s">
        <v>47</v>
      </c>
      <c r="T91" s="1" t="s">
        <v>39</v>
      </c>
      <c r="U91" s="1" t="s">
        <v>30</v>
      </c>
      <c r="V91" s="11">
        <v>4</v>
      </c>
      <c r="W91" s="18">
        <v>4</v>
      </c>
    </row>
    <row r="92" spans="1:23" x14ac:dyDescent="0.25">
      <c r="A92" s="2" t="s">
        <v>267</v>
      </c>
      <c r="B92" s="1" t="s">
        <v>268</v>
      </c>
      <c r="C92" s="8">
        <v>45721</v>
      </c>
      <c r="D92" s="1" t="s">
        <v>140</v>
      </c>
      <c r="E92" s="1" t="s">
        <v>141</v>
      </c>
      <c r="F92" s="1" t="s">
        <v>34</v>
      </c>
      <c r="G92" s="1">
        <v>23</v>
      </c>
      <c r="H92" s="1" t="s">
        <v>69</v>
      </c>
      <c r="I92" s="1" t="s">
        <v>58</v>
      </c>
      <c r="J92" s="1" t="s">
        <v>59</v>
      </c>
      <c r="K92" s="14">
        <v>3</v>
      </c>
      <c r="L92" s="1">
        <v>2421</v>
      </c>
      <c r="M92" s="1">
        <v>25</v>
      </c>
      <c r="N92" s="1">
        <f>Table1[[#This Row],[Discount]]/100</f>
        <v>0.25</v>
      </c>
      <c r="O92" s="1">
        <v>1815.75</v>
      </c>
      <c r="P92" s="1">
        <v>5447.25</v>
      </c>
      <c r="Q92" s="1">
        <v>237</v>
      </c>
      <c r="R92" s="1">
        <v>5684.25</v>
      </c>
      <c r="S92" s="1" t="s">
        <v>93</v>
      </c>
      <c r="T92" s="1" t="s">
        <v>29</v>
      </c>
      <c r="U92" s="1" t="s">
        <v>53</v>
      </c>
      <c r="W92" s="18"/>
    </row>
    <row r="93" spans="1:23" x14ac:dyDescent="0.25">
      <c r="A93" s="2" t="s">
        <v>269</v>
      </c>
      <c r="B93" s="1" t="s">
        <v>270</v>
      </c>
      <c r="C93" s="8">
        <v>45699</v>
      </c>
      <c r="D93" s="1" t="s">
        <v>56</v>
      </c>
      <c r="E93" s="1" t="s">
        <v>56</v>
      </c>
      <c r="F93" s="1" t="s">
        <v>34</v>
      </c>
      <c r="G93" s="1">
        <v>32</v>
      </c>
      <c r="H93" s="1" t="s">
        <v>69</v>
      </c>
      <c r="I93" s="1" t="s">
        <v>45</v>
      </c>
      <c r="J93" s="1" t="s">
        <v>46</v>
      </c>
      <c r="K93" s="14">
        <v>2</v>
      </c>
      <c r="L93" s="1">
        <v>1779</v>
      </c>
      <c r="M93" s="1">
        <v>20</v>
      </c>
      <c r="N93" s="1">
        <f>Table1[[#This Row],[Discount]]/100</f>
        <v>0.2</v>
      </c>
      <c r="O93" s="1">
        <v>711.6</v>
      </c>
      <c r="P93" s="1">
        <v>2846.4</v>
      </c>
      <c r="Q93" s="1">
        <v>118</v>
      </c>
      <c r="R93" s="1">
        <v>2964.4</v>
      </c>
      <c r="S93" s="1" t="s">
        <v>47</v>
      </c>
      <c r="T93" s="1" t="s">
        <v>39</v>
      </c>
      <c r="U93" s="1" t="s">
        <v>30</v>
      </c>
      <c r="V93" s="11">
        <v>3</v>
      </c>
      <c r="W93" s="18">
        <v>3</v>
      </c>
    </row>
    <row r="94" spans="1:23" x14ac:dyDescent="0.25">
      <c r="A94" s="2" t="s">
        <v>271</v>
      </c>
      <c r="B94" s="1" t="s">
        <v>242</v>
      </c>
      <c r="C94" s="8">
        <v>45969</v>
      </c>
      <c r="D94" s="1" t="s">
        <v>153</v>
      </c>
      <c r="E94" s="1" t="s">
        <v>153</v>
      </c>
      <c r="F94" s="1" t="s">
        <v>44</v>
      </c>
      <c r="G94" s="1">
        <v>45</v>
      </c>
      <c r="H94" s="1" t="s">
        <v>35</v>
      </c>
      <c r="I94" s="1" t="s">
        <v>88</v>
      </c>
      <c r="J94" s="1" t="s">
        <v>162</v>
      </c>
      <c r="K94" s="14">
        <v>2</v>
      </c>
      <c r="L94" s="1">
        <v>386</v>
      </c>
      <c r="M94" s="1">
        <v>5</v>
      </c>
      <c r="N94" s="1">
        <f>Table1[[#This Row],[Discount]]/100</f>
        <v>0.05</v>
      </c>
      <c r="O94" s="1">
        <v>38.6</v>
      </c>
      <c r="P94" s="1">
        <v>733.4</v>
      </c>
      <c r="Q94" s="1">
        <v>160</v>
      </c>
      <c r="R94" s="1">
        <v>893.4</v>
      </c>
      <c r="S94" s="1" t="s">
        <v>38</v>
      </c>
      <c r="T94" s="1" t="s">
        <v>39</v>
      </c>
      <c r="U94" s="1" t="s">
        <v>53</v>
      </c>
      <c r="W94" s="18"/>
    </row>
    <row r="95" spans="1:23" x14ac:dyDescent="0.25">
      <c r="A95" s="2" t="s">
        <v>272</v>
      </c>
      <c r="B95" s="1" t="s">
        <v>273</v>
      </c>
      <c r="C95" s="8">
        <v>45781</v>
      </c>
      <c r="D95" s="1" t="s">
        <v>153</v>
      </c>
      <c r="E95" s="1" t="s">
        <v>153</v>
      </c>
      <c r="F95" s="1" t="s">
        <v>44</v>
      </c>
      <c r="G95" s="1">
        <v>27</v>
      </c>
      <c r="H95" s="1" t="s">
        <v>50</v>
      </c>
      <c r="I95" s="1" t="s">
        <v>74</v>
      </c>
      <c r="J95" s="1" t="s">
        <v>172</v>
      </c>
      <c r="K95" s="14">
        <v>5</v>
      </c>
      <c r="L95" s="1">
        <v>914</v>
      </c>
      <c r="M95" s="1">
        <v>0</v>
      </c>
      <c r="N95" s="1">
        <f>Table1[[#This Row],[Discount]]/100</f>
        <v>0</v>
      </c>
      <c r="O95" s="1">
        <v>0</v>
      </c>
      <c r="P95" s="1">
        <v>4570</v>
      </c>
      <c r="Q95" s="1">
        <v>167</v>
      </c>
      <c r="R95" s="1">
        <v>4737</v>
      </c>
      <c r="S95" s="1" t="s">
        <v>52</v>
      </c>
      <c r="T95" s="1" t="s">
        <v>118</v>
      </c>
      <c r="U95" s="1" t="s">
        <v>40</v>
      </c>
      <c r="V95" s="11">
        <v>6</v>
      </c>
      <c r="W95" s="18"/>
    </row>
    <row r="96" spans="1:23" x14ac:dyDescent="0.25">
      <c r="A96" s="2" t="s">
        <v>274</v>
      </c>
      <c r="B96" s="1" t="s">
        <v>275</v>
      </c>
      <c r="C96" s="8">
        <v>45941</v>
      </c>
      <c r="D96" s="1" t="s">
        <v>33</v>
      </c>
      <c r="E96" s="1" t="s">
        <v>33</v>
      </c>
      <c r="F96" s="1" t="s">
        <v>44</v>
      </c>
      <c r="G96" s="1">
        <v>42</v>
      </c>
      <c r="H96" s="1" t="s">
        <v>50</v>
      </c>
      <c r="I96" s="1" t="s">
        <v>58</v>
      </c>
      <c r="J96" s="1" t="s">
        <v>65</v>
      </c>
      <c r="K96" s="14">
        <v>2</v>
      </c>
      <c r="L96" s="1">
        <v>2304</v>
      </c>
      <c r="M96" s="1">
        <v>20</v>
      </c>
      <c r="N96" s="1">
        <f>Table1[[#This Row],[Discount]]/100</f>
        <v>0.2</v>
      </c>
      <c r="O96" s="1">
        <v>921.6</v>
      </c>
      <c r="P96" s="1">
        <v>3686.4</v>
      </c>
      <c r="Q96" s="1">
        <v>149</v>
      </c>
      <c r="R96" s="1">
        <v>3835.4</v>
      </c>
      <c r="S96" s="1" t="s">
        <v>66</v>
      </c>
      <c r="T96" s="1" t="s">
        <v>118</v>
      </c>
      <c r="U96" s="1" t="s">
        <v>53</v>
      </c>
      <c r="W96" s="18"/>
    </row>
    <row r="97" spans="1:23" x14ac:dyDescent="0.25">
      <c r="A97" s="2" t="s">
        <v>276</v>
      </c>
      <c r="B97" s="1" t="s">
        <v>277</v>
      </c>
      <c r="C97" s="8">
        <v>45680</v>
      </c>
      <c r="D97" s="1" t="s">
        <v>83</v>
      </c>
      <c r="E97" s="1" t="s">
        <v>83</v>
      </c>
      <c r="F97" s="1" t="s">
        <v>24</v>
      </c>
      <c r="G97" s="1">
        <v>52</v>
      </c>
      <c r="H97" s="1" t="s">
        <v>35</v>
      </c>
      <c r="I97" s="1" t="s">
        <v>88</v>
      </c>
      <c r="J97" s="1" t="s">
        <v>89</v>
      </c>
      <c r="K97" s="14">
        <v>3</v>
      </c>
      <c r="L97" s="1">
        <v>4250</v>
      </c>
      <c r="M97" s="1">
        <v>25</v>
      </c>
      <c r="N97" s="1">
        <f>Table1[[#This Row],[Discount]]/100</f>
        <v>0.25</v>
      </c>
      <c r="O97" s="1">
        <v>3187.5</v>
      </c>
      <c r="P97" s="1">
        <v>9562.5</v>
      </c>
      <c r="Q97" s="1">
        <v>54</v>
      </c>
      <c r="R97" s="1">
        <v>9616.5</v>
      </c>
      <c r="S97" s="1" t="s">
        <v>66</v>
      </c>
      <c r="T97" s="1" t="s">
        <v>118</v>
      </c>
      <c r="U97" s="1" t="s">
        <v>40</v>
      </c>
      <c r="V97" s="11">
        <v>3</v>
      </c>
      <c r="W97" s="18"/>
    </row>
    <row r="98" spans="1:23" x14ac:dyDescent="0.25">
      <c r="A98" s="2" t="s">
        <v>278</v>
      </c>
      <c r="B98" s="1" t="s">
        <v>248</v>
      </c>
      <c r="C98" s="8">
        <v>45816</v>
      </c>
      <c r="D98" s="1" t="s">
        <v>102</v>
      </c>
      <c r="E98" s="1" t="s">
        <v>103</v>
      </c>
      <c r="F98" s="1" t="s">
        <v>24</v>
      </c>
      <c r="G98" s="1">
        <v>43</v>
      </c>
      <c r="H98" s="1" t="s">
        <v>57</v>
      </c>
      <c r="I98" s="1" t="s">
        <v>45</v>
      </c>
      <c r="J98" s="1" t="s">
        <v>165</v>
      </c>
      <c r="K98" s="14">
        <v>2</v>
      </c>
      <c r="L98" s="1">
        <v>1281</v>
      </c>
      <c r="M98" s="1">
        <v>5</v>
      </c>
      <c r="N98" s="1">
        <f>Table1[[#This Row],[Discount]]/100</f>
        <v>0.05</v>
      </c>
      <c r="O98" s="1">
        <v>128.1</v>
      </c>
      <c r="P98" s="1">
        <v>2433.9</v>
      </c>
      <c r="Q98" s="1">
        <v>100</v>
      </c>
      <c r="R98" s="1">
        <v>2533.9</v>
      </c>
      <c r="S98" s="1" t="s">
        <v>38</v>
      </c>
      <c r="T98" s="1" t="s">
        <v>39</v>
      </c>
      <c r="U98" s="1" t="s">
        <v>80</v>
      </c>
      <c r="W98" s="18"/>
    </row>
    <row r="99" spans="1:23" x14ac:dyDescent="0.25">
      <c r="A99" s="2" t="s">
        <v>279</v>
      </c>
      <c r="B99" s="1" t="s">
        <v>280</v>
      </c>
      <c r="C99" s="8">
        <v>45883</v>
      </c>
      <c r="D99" s="1" t="s">
        <v>140</v>
      </c>
      <c r="E99" s="1" t="s">
        <v>141</v>
      </c>
      <c r="F99" s="1" t="s">
        <v>24</v>
      </c>
      <c r="G99" s="1">
        <v>39</v>
      </c>
      <c r="H99" s="1" t="s">
        <v>57</v>
      </c>
      <c r="I99" s="1" t="s">
        <v>36</v>
      </c>
      <c r="J99" s="1" t="s">
        <v>159</v>
      </c>
      <c r="K99" s="14">
        <v>3</v>
      </c>
      <c r="L99" s="1">
        <v>6948</v>
      </c>
      <c r="M99" s="1">
        <v>10</v>
      </c>
      <c r="N99" s="1">
        <f>Table1[[#This Row],[Discount]]/100</f>
        <v>0.1</v>
      </c>
      <c r="O99" s="1">
        <v>2084.4</v>
      </c>
      <c r="P99" s="1">
        <v>18759.599999999999</v>
      </c>
      <c r="Q99" s="1">
        <v>122</v>
      </c>
      <c r="R99" s="1">
        <v>18881.599999999999</v>
      </c>
      <c r="S99" s="1" t="s">
        <v>38</v>
      </c>
      <c r="T99" s="1" t="s">
        <v>29</v>
      </c>
      <c r="U99" s="1" t="s">
        <v>30</v>
      </c>
      <c r="V99" s="11">
        <v>4</v>
      </c>
      <c r="W99" s="18">
        <v>3.5</v>
      </c>
    </row>
    <row r="100" spans="1:23" x14ac:dyDescent="0.25">
      <c r="A100" s="2" t="s">
        <v>281</v>
      </c>
      <c r="B100" s="1" t="s">
        <v>282</v>
      </c>
      <c r="C100" s="8">
        <v>45809</v>
      </c>
      <c r="D100" s="1" t="s">
        <v>110</v>
      </c>
      <c r="E100" s="1" t="s">
        <v>110</v>
      </c>
      <c r="F100" s="1" t="s">
        <v>44</v>
      </c>
      <c r="G100" s="1">
        <v>46</v>
      </c>
      <c r="H100" s="1" t="s">
        <v>35</v>
      </c>
      <c r="I100" s="1" t="s">
        <v>26</v>
      </c>
      <c r="J100" s="1" t="s">
        <v>283</v>
      </c>
      <c r="K100" s="14">
        <v>1</v>
      </c>
      <c r="L100" s="1">
        <v>57240</v>
      </c>
      <c r="M100" s="1">
        <v>0</v>
      </c>
      <c r="N100" s="1">
        <f>Table1[[#This Row],[Discount]]/100</f>
        <v>0</v>
      </c>
      <c r="O100" s="1">
        <v>0</v>
      </c>
      <c r="P100" s="1">
        <v>57240</v>
      </c>
      <c r="Q100" s="1">
        <v>189</v>
      </c>
      <c r="R100" s="1">
        <v>57429</v>
      </c>
      <c r="S100" s="1" t="s">
        <v>66</v>
      </c>
      <c r="T100" s="1" t="s">
        <v>118</v>
      </c>
      <c r="U100" s="1" t="s">
        <v>30</v>
      </c>
      <c r="V100" s="11">
        <v>3</v>
      </c>
      <c r="W100" s="18">
        <v>4.5</v>
      </c>
    </row>
    <row r="101" spans="1:23" x14ac:dyDescent="0.25">
      <c r="A101" s="2" t="s">
        <v>284</v>
      </c>
      <c r="B101" s="1" t="s">
        <v>128</v>
      </c>
      <c r="C101" s="8">
        <v>46005</v>
      </c>
      <c r="D101" s="1" t="s">
        <v>83</v>
      </c>
      <c r="E101" s="1" t="s">
        <v>83</v>
      </c>
      <c r="F101" s="1" t="s">
        <v>24</v>
      </c>
      <c r="G101" s="1">
        <v>19</v>
      </c>
      <c r="H101" s="1" t="s">
        <v>57</v>
      </c>
      <c r="I101" s="1" t="s">
        <v>45</v>
      </c>
      <c r="J101" s="1" t="s">
        <v>46</v>
      </c>
      <c r="K101" s="14">
        <v>3</v>
      </c>
      <c r="L101" s="1">
        <v>387</v>
      </c>
      <c r="M101" s="1">
        <v>15</v>
      </c>
      <c r="N101" s="1">
        <f>Table1[[#This Row],[Discount]]/100</f>
        <v>0.15</v>
      </c>
      <c r="O101" s="1">
        <v>174.15</v>
      </c>
      <c r="P101" s="1">
        <v>986.85</v>
      </c>
      <c r="Q101" s="1">
        <v>225</v>
      </c>
      <c r="R101" s="1">
        <v>1211.8499999999999</v>
      </c>
      <c r="S101" s="1" t="s">
        <v>28</v>
      </c>
      <c r="T101" s="1" t="s">
        <v>39</v>
      </c>
      <c r="U101" s="1" t="s">
        <v>30</v>
      </c>
      <c r="V101" s="11">
        <v>2</v>
      </c>
      <c r="W101" s="18">
        <v>3.5</v>
      </c>
    </row>
    <row r="102" spans="1:23" x14ac:dyDescent="0.25">
      <c r="A102" s="2" t="s">
        <v>285</v>
      </c>
      <c r="B102" s="1" t="s">
        <v>264</v>
      </c>
      <c r="C102" s="8">
        <v>45697</v>
      </c>
      <c r="D102" s="1" t="s">
        <v>43</v>
      </c>
      <c r="E102" s="1" t="s">
        <v>43</v>
      </c>
      <c r="F102" s="1" t="s">
        <v>44</v>
      </c>
      <c r="G102" s="1">
        <v>26</v>
      </c>
      <c r="H102" s="1" t="s">
        <v>69</v>
      </c>
      <c r="I102" s="1" t="s">
        <v>74</v>
      </c>
      <c r="J102" s="1" t="s">
        <v>97</v>
      </c>
      <c r="K102" s="14">
        <v>3</v>
      </c>
      <c r="L102" s="1">
        <v>5046</v>
      </c>
      <c r="M102" s="1">
        <v>10</v>
      </c>
      <c r="N102" s="1">
        <f>Table1[[#This Row],[Discount]]/100</f>
        <v>0.1</v>
      </c>
      <c r="O102" s="1">
        <v>1513.8</v>
      </c>
      <c r="P102" s="1">
        <v>13624.2</v>
      </c>
      <c r="Q102" s="1">
        <v>215</v>
      </c>
      <c r="R102" s="1">
        <v>13839.2</v>
      </c>
      <c r="S102" s="1" t="s">
        <v>66</v>
      </c>
      <c r="T102" s="1" t="s">
        <v>118</v>
      </c>
      <c r="U102" s="1" t="s">
        <v>30</v>
      </c>
      <c r="V102" s="11">
        <v>5</v>
      </c>
      <c r="W102" s="18">
        <v>4.5</v>
      </c>
    </row>
    <row r="103" spans="1:23" x14ac:dyDescent="0.25">
      <c r="A103" s="2" t="s">
        <v>286</v>
      </c>
      <c r="B103" s="1" t="s">
        <v>287</v>
      </c>
      <c r="C103" s="8">
        <v>45971</v>
      </c>
      <c r="D103" s="1" t="s">
        <v>33</v>
      </c>
      <c r="E103" s="1" t="s">
        <v>33</v>
      </c>
      <c r="F103" s="1" t="s">
        <v>34</v>
      </c>
      <c r="G103" s="1">
        <v>49</v>
      </c>
      <c r="H103" s="1" t="s">
        <v>35</v>
      </c>
      <c r="I103" s="1" t="s">
        <v>26</v>
      </c>
      <c r="J103" s="1" t="s">
        <v>27</v>
      </c>
      <c r="K103" s="14">
        <v>2</v>
      </c>
      <c r="L103" s="1">
        <v>66210</v>
      </c>
      <c r="M103" s="1">
        <v>10</v>
      </c>
      <c r="N103" s="1">
        <f>Table1[[#This Row],[Discount]]/100</f>
        <v>0.1</v>
      </c>
      <c r="O103" s="1">
        <v>13242</v>
      </c>
      <c r="P103" s="1">
        <v>119178</v>
      </c>
      <c r="Q103" s="1">
        <v>74</v>
      </c>
      <c r="R103" s="1">
        <v>119252</v>
      </c>
      <c r="S103" s="1" t="s">
        <v>28</v>
      </c>
      <c r="T103" s="1" t="s">
        <v>118</v>
      </c>
      <c r="U103" s="1" t="s">
        <v>40</v>
      </c>
      <c r="V103" s="11">
        <v>3</v>
      </c>
      <c r="W103" s="18"/>
    </row>
    <row r="104" spans="1:23" x14ac:dyDescent="0.25">
      <c r="A104" s="2" t="s">
        <v>288</v>
      </c>
      <c r="B104" s="1" t="s">
        <v>289</v>
      </c>
      <c r="C104" s="8">
        <v>45738</v>
      </c>
      <c r="D104" s="1" t="s">
        <v>56</v>
      </c>
      <c r="E104" s="1" t="s">
        <v>56</v>
      </c>
      <c r="F104" s="1" t="s">
        <v>44</v>
      </c>
      <c r="G104" s="1">
        <v>58</v>
      </c>
      <c r="H104" s="1" t="s">
        <v>25</v>
      </c>
      <c r="I104" s="1" t="s">
        <v>36</v>
      </c>
      <c r="J104" s="1" t="s">
        <v>92</v>
      </c>
      <c r="K104" s="14">
        <v>1</v>
      </c>
      <c r="L104" s="1">
        <v>4841</v>
      </c>
      <c r="M104" s="1">
        <v>10</v>
      </c>
      <c r="N104" s="1">
        <f>Table1[[#This Row],[Discount]]/100</f>
        <v>0.1</v>
      </c>
      <c r="O104" s="1">
        <v>484.1</v>
      </c>
      <c r="P104" s="1">
        <v>4356.8999999999996</v>
      </c>
      <c r="Q104" s="1">
        <v>237</v>
      </c>
      <c r="R104" s="1">
        <v>4593.8999999999996</v>
      </c>
      <c r="S104" s="1" t="s">
        <v>47</v>
      </c>
      <c r="T104" s="1" t="s">
        <v>39</v>
      </c>
      <c r="U104" s="1" t="s">
        <v>80</v>
      </c>
      <c r="W104" s="18"/>
    </row>
    <row r="105" spans="1:23" x14ac:dyDescent="0.25">
      <c r="A105" s="2" t="s">
        <v>290</v>
      </c>
      <c r="B105" s="1" t="s">
        <v>282</v>
      </c>
      <c r="C105" s="8">
        <v>45702</v>
      </c>
      <c r="D105" s="1" t="s">
        <v>33</v>
      </c>
      <c r="E105" s="1" t="s">
        <v>33</v>
      </c>
      <c r="F105" s="1" t="s">
        <v>24</v>
      </c>
      <c r="G105" s="1">
        <v>37</v>
      </c>
      <c r="H105" s="1" t="s">
        <v>57</v>
      </c>
      <c r="I105" s="1" t="s">
        <v>74</v>
      </c>
      <c r="J105" s="1" t="s">
        <v>75</v>
      </c>
      <c r="K105" s="14">
        <v>4</v>
      </c>
      <c r="L105" s="1">
        <v>3356</v>
      </c>
      <c r="M105" s="1">
        <v>20</v>
      </c>
      <c r="N105" s="1">
        <f>Table1[[#This Row],[Discount]]/100</f>
        <v>0.2</v>
      </c>
      <c r="O105" s="1">
        <v>2684.8</v>
      </c>
      <c r="P105" s="1">
        <v>10739.2</v>
      </c>
      <c r="Q105" s="1">
        <v>246</v>
      </c>
      <c r="R105" s="1">
        <v>10985.2</v>
      </c>
      <c r="S105" s="1" t="s">
        <v>52</v>
      </c>
      <c r="T105" s="1" t="s">
        <v>118</v>
      </c>
      <c r="U105" s="1" t="s">
        <v>30</v>
      </c>
      <c r="V105" s="11">
        <v>1</v>
      </c>
      <c r="W105" s="18">
        <v>4</v>
      </c>
    </row>
    <row r="106" spans="1:23" x14ac:dyDescent="0.25">
      <c r="A106" s="2" t="s">
        <v>291</v>
      </c>
      <c r="B106" s="1" t="s">
        <v>139</v>
      </c>
      <c r="C106" s="8">
        <v>45940</v>
      </c>
      <c r="D106" s="1" t="s">
        <v>140</v>
      </c>
      <c r="E106" s="1" t="s">
        <v>141</v>
      </c>
      <c r="F106" s="1" t="s">
        <v>34</v>
      </c>
      <c r="G106" s="1">
        <v>55</v>
      </c>
      <c r="H106" s="1" t="s">
        <v>57</v>
      </c>
      <c r="I106" s="1" t="s">
        <v>45</v>
      </c>
      <c r="J106" s="1" t="s">
        <v>84</v>
      </c>
      <c r="K106" s="14">
        <v>1</v>
      </c>
      <c r="L106" s="1">
        <v>1923</v>
      </c>
      <c r="M106" s="1">
        <v>20</v>
      </c>
      <c r="N106" s="1">
        <f>Table1[[#This Row],[Discount]]/100</f>
        <v>0.2</v>
      </c>
      <c r="O106" s="1">
        <v>384.6</v>
      </c>
      <c r="P106" s="1">
        <v>1538.4</v>
      </c>
      <c r="Q106" s="1">
        <v>244</v>
      </c>
      <c r="R106" s="1">
        <v>1782.4</v>
      </c>
      <c r="S106" s="1" t="s">
        <v>52</v>
      </c>
      <c r="T106" s="1" t="s">
        <v>39</v>
      </c>
      <c r="U106" s="1" t="s">
        <v>30</v>
      </c>
      <c r="V106" s="11">
        <v>6</v>
      </c>
      <c r="W106" s="18">
        <v>3.5</v>
      </c>
    </row>
    <row r="107" spans="1:23" x14ac:dyDescent="0.25">
      <c r="A107" s="2" t="s">
        <v>292</v>
      </c>
      <c r="B107" s="1" t="s">
        <v>293</v>
      </c>
      <c r="C107" s="8">
        <v>45803</v>
      </c>
      <c r="D107" s="1" t="s">
        <v>87</v>
      </c>
      <c r="E107" s="1" t="s">
        <v>87</v>
      </c>
      <c r="F107" s="1" t="s">
        <v>24</v>
      </c>
      <c r="G107" s="1">
        <v>23</v>
      </c>
      <c r="H107" s="1" t="s">
        <v>25</v>
      </c>
      <c r="I107" s="1" t="s">
        <v>26</v>
      </c>
      <c r="J107" s="1" t="s">
        <v>79</v>
      </c>
      <c r="K107" s="14">
        <v>2</v>
      </c>
      <c r="L107" s="1">
        <v>40662</v>
      </c>
      <c r="M107" s="1">
        <v>5</v>
      </c>
      <c r="N107" s="1">
        <f>Table1[[#This Row],[Discount]]/100</f>
        <v>0.05</v>
      </c>
      <c r="O107" s="1">
        <v>4066.2</v>
      </c>
      <c r="P107" s="1">
        <v>77257.8</v>
      </c>
      <c r="Q107" s="1">
        <v>152</v>
      </c>
      <c r="R107" s="1">
        <v>77409.8</v>
      </c>
      <c r="S107" s="1" t="s">
        <v>38</v>
      </c>
      <c r="T107" s="1" t="s">
        <v>39</v>
      </c>
      <c r="U107" s="1" t="s">
        <v>30</v>
      </c>
      <c r="V107" s="11">
        <v>7</v>
      </c>
      <c r="W107" s="18">
        <v>4</v>
      </c>
    </row>
    <row r="108" spans="1:23" x14ac:dyDescent="0.25">
      <c r="A108" s="2" t="s">
        <v>294</v>
      </c>
      <c r="B108" s="1" t="s">
        <v>295</v>
      </c>
      <c r="C108" s="8">
        <v>45967</v>
      </c>
      <c r="D108" s="1" t="s">
        <v>23</v>
      </c>
      <c r="E108" s="1" t="s">
        <v>23</v>
      </c>
      <c r="F108" s="1" t="s">
        <v>34</v>
      </c>
      <c r="G108" s="1">
        <v>54</v>
      </c>
      <c r="H108" s="1" t="s">
        <v>50</v>
      </c>
      <c r="I108" s="1" t="s">
        <v>88</v>
      </c>
      <c r="J108" s="1" t="s">
        <v>117</v>
      </c>
      <c r="K108" s="14">
        <v>5</v>
      </c>
      <c r="L108" s="1">
        <v>3062</v>
      </c>
      <c r="M108" s="1">
        <v>25</v>
      </c>
      <c r="N108" s="1">
        <f>Table1[[#This Row],[Discount]]/100</f>
        <v>0.25</v>
      </c>
      <c r="O108" s="1">
        <v>3827.5</v>
      </c>
      <c r="P108" s="1">
        <v>11482.5</v>
      </c>
      <c r="Q108" s="1">
        <v>250</v>
      </c>
      <c r="R108" s="1">
        <v>11732.5</v>
      </c>
      <c r="S108" s="1" t="s">
        <v>28</v>
      </c>
      <c r="T108" s="1" t="s">
        <v>29</v>
      </c>
      <c r="U108" s="1" t="s">
        <v>40</v>
      </c>
      <c r="V108" s="11">
        <v>3</v>
      </c>
      <c r="W108" s="18"/>
    </row>
    <row r="109" spans="1:23" x14ac:dyDescent="0.25">
      <c r="A109" s="2" t="s">
        <v>296</v>
      </c>
      <c r="B109" s="1" t="s">
        <v>297</v>
      </c>
      <c r="C109" s="8">
        <v>45905</v>
      </c>
      <c r="D109" s="1" t="s">
        <v>140</v>
      </c>
      <c r="E109" s="1" t="s">
        <v>141</v>
      </c>
      <c r="F109" s="1" t="s">
        <v>34</v>
      </c>
      <c r="G109" s="1">
        <v>43</v>
      </c>
      <c r="H109" s="1" t="s">
        <v>50</v>
      </c>
      <c r="I109" s="1" t="s">
        <v>58</v>
      </c>
      <c r="J109" s="1" t="s">
        <v>62</v>
      </c>
      <c r="K109" s="14">
        <v>2</v>
      </c>
      <c r="L109" s="1">
        <v>3791</v>
      </c>
      <c r="M109" s="1">
        <v>20</v>
      </c>
      <c r="N109" s="1">
        <f>Table1[[#This Row],[Discount]]/100</f>
        <v>0.2</v>
      </c>
      <c r="O109" s="1">
        <v>1516.4</v>
      </c>
      <c r="P109" s="1">
        <v>6065.6</v>
      </c>
      <c r="Q109" s="1">
        <v>97</v>
      </c>
      <c r="R109" s="1">
        <v>6162.6</v>
      </c>
      <c r="S109" s="1" t="s">
        <v>47</v>
      </c>
      <c r="T109" s="1" t="s">
        <v>118</v>
      </c>
      <c r="U109" s="1" t="s">
        <v>30</v>
      </c>
      <c r="V109" s="11">
        <v>2</v>
      </c>
      <c r="W109" s="18">
        <v>4</v>
      </c>
    </row>
    <row r="110" spans="1:23" x14ac:dyDescent="0.25">
      <c r="A110" s="2" t="s">
        <v>298</v>
      </c>
      <c r="B110" s="1" t="s">
        <v>299</v>
      </c>
      <c r="C110" s="8">
        <v>45834</v>
      </c>
      <c r="D110" s="1" t="s">
        <v>96</v>
      </c>
      <c r="E110" s="1" t="s">
        <v>96</v>
      </c>
      <c r="F110" s="1" t="s">
        <v>44</v>
      </c>
      <c r="G110" s="1">
        <v>26</v>
      </c>
      <c r="H110" s="1" t="s">
        <v>25</v>
      </c>
      <c r="I110" s="1" t="s">
        <v>45</v>
      </c>
      <c r="J110" s="1" t="s">
        <v>146</v>
      </c>
      <c r="K110" s="14">
        <v>2</v>
      </c>
      <c r="L110" s="1">
        <v>1360</v>
      </c>
      <c r="M110" s="1">
        <v>10</v>
      </c>
      <c r="N110" s="1">
        <f>Table1[[#This Row],[Discount]]/100</f>
        <v>0.1</v>
      </c>
      <c r="O110" s="1">
        <v>272</v>
      </c>
      <c r="P110" s="1">
        <v>2448</v>
      </c>
      <c r="Q110" s="1">
        <v>240</v>
      </c>
      <c r="R110" s="1">
        <v>2688</v>
      </c>
      <c r="S110" s="1" t="s">
        <v>52</v>
      </c>
      <c r="T110" s="1" t="s">
        <v>39</v>
      </c>
      <c r="U110" s="1" t="s">
        <v>40</v>
      </c>
      <c r="V110" s="11">
        <v>4</v>
      </c>
      <c r="W110" s="18"/>
    </row>
    <row r="111" spans="1:23" x14ac:dyDescent="0.25">
      <c r="A111" s="2" t="s">
        <v>300</v>
      </c>
      <c r="B111" s="1" t="s">
        <v>301</v>
      </c>
      <c r="C111" s="8">
        <v>45973</v>
      </c>
      <c r="D111" s="1" t="s">
        <v>83</v>
      </c>
      <c r="E111" s="1" t="s">
        <v>83</v>
      </c>
      <c r="F111" s="1" t="s">
        <v>34</v>
      </c>
      <c r="G111" s="1">
        <v>33</v>
      </c>
      <c r="H111" s="1" t="s">
        <v>69</v>
      </c>
      <c r="I111" s="1" t="s">
        <v>74</v>
      </c>
      <c r="J111" s="1" t="s">
        <v>172</v>
      </c>
      <c r="K111" s="14">
        <v>1</v>
      </c>
      <c r="L111" s="1">
        <v>4083</v>
      </c>
      <c r="M111" s="1">
        <v>10</v>
      </c>
      <c r="N111" s="1">
        <f>Table1[[#This Row],[Discount]]/100</f>
        <v>0.1</v>
      </c>
      <c r="O111" s="1">
        <v>408.3</v>
      </c>
      <c r="P111" s="1">
        <v>3674.7</v>
      </c>
      <c r="Q111" s="1">
        <v>241</v>
      </c>
      <c r="R111" s="1">
        <v>3915.7</v>
      </c>
      <c r="S111" s="1" t="s">
        <v>52</v>
      </c>
      <c r="T111" s="1" t="s">
        <v>29</v>
      </c>
      <c r="U111" s="1" t="s">
        <v>70</v>
      </c>
      <c r="W111" s="18"/>
    </row>
    <row r="112" spans="1:23" x14ac:dyDescent="0.25">
      <c r="A112" s="2" t="s">
        <v>302</v>
      </c>
      <c r="B112" s="1" t="s">
        <v>258</v>
      </c>
      <c r="C112" s="8">
        <v>45892</v>
      </c>
      <c r="D112" s="1" t="s">
        <v>83</v>
      </c>
      <c r="E112" s="1" t="s">
        <v>83</v>
      </c>
      <c r="F112" s="1" t="s">
        <v>44</v>
      </c>
      <c r="G112" s="1">
        <v>31</v>
      </c>
      <c r="H112" s="1" t="s">
        <v>50</v>
      </c>
      <c r="I112" s="1" t="s">
        <v>74</v>
      </c>
      <c r="J112" s="1" t="s">
        <v>75</v>
      </c>
      <c r="K112" s="14">
        <v>4</v>
      </c>
      <c r="L112" s="1">
        <v>4224</v>
      </c>
      <c r="M112" s="1">
        <v>0</v>
      </c>
      <c r="N112" s="1">
        <f>Table1[[#This Row],[Discount]]/100</f>
        <v>0</v>
      </c>
      <c r="O112" s="1">
        <v>0</v>
      </c>
      <c r="P112" s="1">
        <v>16896</v>
      </c>
      <c r="Q112" s="1">
        <v>149</v>
      </c>
      <c r="R112" s="1">
        <v>17045</v>
      </c>
      <c r="S112" s="1" t="s">
        <v>28</v>
      </c>
      <c r="T112" s="1" t="s">
        <v>118</v>
      </c>
      <c r="U112" s="1" t="s">
        <v>70</v>
      </c>
      <c r="W112" s="18"/>
    </row>
    <row r="113" spans="1:23" x14ac:dyDescent="0.25">
      <c r="A113" s="2" t="s">
        <v>303</v>
      </c>
      <c r="B113" s="1" t="s">
        <v>246</v>
      </c>
      <c r="C113" s="8">
        <v>45864</v>
      </c>
      <c r="D113" s="1" t="s">
        <v>78</v>
      </c>
      <c r="E113" s="1" t="s">
        <v>78</v>
      </c>
      <c r="F113" s="1" t="s">
        <v>34</v>
      </c>
      <c r="G113" s="1">
        <v>20</v>
      </c>
      <c r="H113" s="1" t="s">
        <v>25</v>
      </c>
      <c r="I113" s="1" t="s">
        <v>58</v>
      </c>
      <c r="J113" s="1" t="s">
        <v>65</v>
      </c>
      <c r="K113" s="14">
        <v>3</v>
      </c>
      <c r="L113" s="1">
        <v>698</v>
      </c>
      <c r="M113" s="1">
        <v>10</v>
      </c>
      <c r="N113" s="1">
        <f>Table1[[#This Row],[Discount]]/100</f>
        <v>0.1</v>
      </c>
      <c r="O113" s="1">
        <v>209.4</v>
      </c>
      <c r="P113" s="1">
        <v>1884.6</v>
      </c>
      <c r="Q113" s="1">
        <v>215</v>
      </c>
      <c r="R113" s="1">
        <v>2099.6</v>
      </c>
      <c r="S113" s="1" t="s">
        <v>52</v>
      </c>
      <c r="T113" s="1" t="s">
        <v>39</v>
      </c>
      <c r="U113" s="1" t="s">
        <v>40</v>
      </c>
      <c r="V113" s="11">
        <v>3</v>
      </c>
      <c r="W113" s="18"/>
    </row>
    <row r="114" spans="1:23" x14ac:dyDescent="0.25">
      <c r="A114" s="2" t="s">
        <v>304</v>
      </c>
      <c r="B114" s="1" t="s">
        <v>305</v>
      </c>
      <c r="C114" s="8">
        <v>45723</v>
      </c>
      <c r="D114" s="1" t="s">
        <v>83</v>
      </c>
      <c r="E114" s="1" t="s">
        <v>83</v>
      </c>
      <c r="F114" s="1" t="s">
        <v>44</v>
      </c>
      <c r="G114" s="1">
        <v>43</v>
      </c>
      <c r="H114" s="1" t="s">
        <v>25</v>
      </c>
      <c r="I114" s="1" t="s">
        <v>58</v>
      </c>
      <c r="J114" s="1" t="s">
        <v>62</v>
      </c>
      <c r="K114" s="14">
        <v>1</v>
      </c>
      <c r="L114" s="1">
        <v>1295</v>
      </c>
      <c r="M114" s="1">
        <v>20</v>
      </c>
      <c r="N114" s="1">
        <f>Table1[[#This Row],[Discount]]/100</f>
        <v>0.2</v>
      </c>
      <c r="O114" s="1">
        <v>259</v>
      </c>
      <c r="P114" s="1">
        <v>1036</v>
      </c>
      <c r="Q114" s="1">
        <v>50</v>
      </c>
      <c r="R114" s="1">
        <v>1086</v>
      </c>
      <c r="S114" s="1" t="s">
        <v>38</v>
      </c>
      <c r="T114" s="1" t="s">
        <v>39</v>
      </c>
      <c r="U114" s="1" t="s">
        <v>40</v>
      </c>
      <c r="V114" s="11">
        <v>1</v>
      </c>
      <c r="W114" s="18"/>
    </row>
    <row r="115" spans="1:23" x14ac:dyDescent="0.25">
      <c r="A115" s="2" t="s">
        <v>306</v>
      </c>
      <c r="B115" s="1" t="s">
        <v>307</v>
      </c>
      <c r="C115" s="8">
        <v>45891</v>
      </c>
      <c r="D115" s="1" t="s">
        <v>33</v>
      </c>
      <c r="E115" s="1" t="s">
        <v>33</v>
      </c>
      <c r="F115" s="1" t="s">
        <v>24</v>
      </c>
      <c r="G115" s="1">
        <v>56</v>
      </c>
      <c r="H115" s="1" t="s">
        <v>35</v>
      </c>
      <c r="I115" s="1" t="s">
        <v>58</v>
      </c>
      <c r="J115" s="1" t="s">
        <v>114</v>
      </c>
      <c r="K115" s="14">
        <v>4</v>
      </c>
      <c r="L115" s="1">
        <v>711</v>
      </c>
      <c r="M115" s="1">
        <v>10</v>
      </c>
      <c r="N115" s="1">
        <f>Table1[[#This Row],[Discount]]/100</f>
        <v>0.1</v>
      </c>
      <c r="O115" s="1">
        <v>284.39999999999998</v>
      </c>
      <c r="P115" s="1">
        <v>2559.6</v>
      </c>
      <c r="Q115" s="1">
        <v>152</v>
      </c>
      <c r="R115" s="1">
        <v>2711.6</v>
      </c>
      <c r="S115" s="1" t="s">
        <v>38</v>
      </c>
      <c r="T115" s="1" t="s">
        <v>29</v>
      </c>
      <c r="U115" s="1" t="s">
        <v>53</v>
      </c>
      <c r="W115" s="18"/>
    </row>
    <row r="116" spans="1:23" x14ac:dyDescent="0.25">
      <c r="A116" s="2" t="s">
        <v>308</v>
      </c>
      <c r="B116" s="1" t="s">
        <v>309</v>
      </c>
      <c r="C116" s="8">
        <v>45811</v>
      </c>
      <c r="D116" s="1" t="s">
        <v>83</v>
      </c>
      <c r="E116" s="1" t="s">
        <v>83</v>
      </c>
      <c r="F116" s="1" t="s">
        <v>24</v>
      </c>
      <c r="G116" s="1">
        <v>19</v>
      </c>
      <c r="H116" s="1" t="s">
        <v>50</v>
      </c>
      <c r="I116" s="1" t="s">
        <v>74</v>
      </c>
      <c r="J116" s="1" t="s">
        <v>172</v>
      </c>
      <c r="K116" s="14">
        <v>5</v>
      </c>
      <c r="L116" s="1">
        <v>5263</v>
      </c>
      <c r="M116" s="1">
        <v>20</v>
      </c>
      <c r="N116" s="1">
        <f>Table1[[#This Row],[Discount]]/100</f>
        <v>0.2</v>
      </c>
      <c r="O116" s="1">
        <v>5263</v>
      </c>
      <c r="P116" s="1">
        <v>21052</v>
      </c>
      <c r="Q116" s="1">
        <v>164</v>
      </c>
      <c r="R116" s="1">
        <v>21216</v>
      </c>
      <c r="S116" s="1" t="s">
        <v>93</v>
      </c>
      <c r="T116" s="1" t="s">
        <v>29</v>
      </c>
      <c r="U116" s="1" t="s">
        <v>30</v>
      </c>
      <c r="V116" s="11">
        <v>4</v>
      </c>
      <c r="W116" s="18">
        <v>4</v>
      </c>
    </row>
    <row r="117" spans="1:23" x14ac:dyDescent="0.25">
      <c r="A117" s="2" t="s">
        <v>310</v>
      </c>
      <c r="B117" s="1" t="s">
        <v>311</v>
      </c>
      <c r="C117" s="8">
        <v>45926</v>
      </c>
      <c r="D117" s="1" t="s">
        <v>110</v>
      </c>
      <c r="E117" s="1" t="s">
        <v>110</v>
      </c>
      <c r="F117" s="1" t="s">
        <v>24</v>
      </c>
      <c r="G117" s="1">
        <v>57</v>
      </c>
      <c r="H117" s="1" t="s">
        <v>35</v>
      </c>
      <c r="I117" s="1" t="s">
        <v>36</v>
      </c>
      <c r="J117" s="1" t="s">
        <v>177</v>
      </c>
      <c r="K117" s="14">
        <v>5</v>
      </c>
      <c r="L117" s="1">
        <v>6309</v>
      </c>
      <c r="M117" s="1">
        <v>0</v>
      </c>
      <c r="N117" s="1">
        <f>Table1[[#This Row],[Discount]]/100</f>
        <v>0</v>
      </c>
      <c r="O117" s="1">
        <v>0</v>
      </c>
      <c r="P117" s="1">
        <v>31545</v>
      </c>
      <c r="Q117" s="1">
        <v>63</v>
      </c>
      <c r="R117" s="1">
        <v>31608</v>
      </c>
      <c r="S117" s="1" t="s">
        <v>28</v>
      </c>
      <c r="T117" s="1" t="s">
        <v>29</v>
      </c>
      <c r="U117" s="1" t="s">
        <v>30</v>
      </c>
      <c r="V117" s="11">
        <v>6</v>
      </c>
      <c r="W117" s="18">
        <v>4</v>
      </c>
    </row>
    <row r="118" spans="1:23" x14ac:dyDescent="0.25">
      <c r="A118" s="2" t="s">
        <v>312</v>
      </c>
      <c r="B118" s="1" t="s">
        <v>313</v>
      </c>
      <c r="C118" s="8">
        <v>45971</v>
      </c>
      <c r="D118" s="1" t="s">
        <v>102</v>
      </c>
      <c r="E118" s="1" t="s">
        <v>103</v>
      </c>
      <c r="F118" s="1" t="s">
        <v>24</v>
      </c>
      <c r="G118" s="1">
        <v>21</v>
      </c>
      <c r="H118" s="1" t="s">
        <v>35</v>
      </c>
      <c r="I118" s="1" t="s">
        <v>26</v>
      </c>
      <c r="J118" s="1" t="s">
        <v>51</v>
      </c>
      <c r="K118" s="14">
        <v>1</v>
      </c>
      <c r="L118" s="1">
        <v>58607</v>
      </c>
      <c r="M118" s="1">
        <v>5</v>
      </c>
      <c r="N118" s="1">
        <f>Table1[[#This Row],[Discount]]/100</f>
        <v>0.05</v>
      </c>
      <c r="O118" s="1">
        <v>2930.35</v>
      </c>
      <c r="P118" s="1">
        <v>55676.65</v>
      </c>
      <c r="Q118" s="1">
        <v>218</v>
      </c>
      <c r="R118" s="1">
        <v>55894.65</v>
      </c>
      <c r="S118" s="1" t="s">
        <v>52</v>
      </c>
      <c r="T118" s="1" t="s">
        <v>118</v>
      </c>
      <c r="U118" s="1" t="s">
        <v>30</v>
      </c>
      <c r="V118" s="11">
        <v>4</v>
      </c>
      <c r="W118" s="18">
        <v>5</v>
      </c>
    </row>
    <row r="119" spans="1:23" x14ac:dyDescent="0.25">
      <c r="A119" s="2" t="s">
        <v>314</v>
      </c>
      <c r="B119" s="1" t="s">
        <v>315</v>
      </c>
      <c r="C119" s="8">
        <v>46006</v>
      </c>
      <c r="D119" s="1" t="s">
        <v>23</v>
      </c>
      <c r="E119" s="1" t="s">
        <v>23</v>
      </c>
      <c r="F119" s="1" t="s">
        <v>44</v>
      </c>
      <c r="G119" s="1">
        <v>34</v>
      </c>
      <c r="H119" s="1" t="s">
        <v>35</v>
      </c>
      <c r="I119" s="1" t="s">
        <v>45</v>
      </c>
      <c r="J119" s="1" t="s">
        <v>84</v>
      </c>
      <c r="K119" s="14">
        <v>4</v>
      </c>
      <c r="L119" s="1">
        <v>2263</v>
      </c>
      <c r="M119" s="1">
        <v>10</v>
      </c>
      <c r="N119" s="1">
        <f>Table1[[#This Row],[Discount]]/100</f>
        <v>0.1</v>
      </c>
      <c r="O119" s="1">
        <v>905.2</v>
      </c>
      <c r="P119" s="1">
        <v>8146.8</v>
      </c>
      <c r="Q119" s="1">
        <v>242</v>
      </c>
      <c r="R119" s="1">
        <v>8388.7999999999993</v>
      </c>
      <c r="S119" s="1" t="s">
        <v>47</v>
      </c>
      <c r="T119" s="1" t="s">
        <v>118</v>
      </c>
      <c r="U119" s="1" t="s">
        <v>40</v>
      </c>
      <c r="V119" s="11">
        <v>6</v>
      </c>
      <c r="W119" s="18"/>
    </row>
    <row r="120" spans="1:23" x14ac:dyDescent="0.25">
      <c r="A120" s="2" t="s">
        <v>316</v>
      </c>
      <c r="B120" s="1" t="s">
        <v>237</v>
      </c>
      <c r="C120" s="8">
        <v>45798</v>
      </c>
      <c r="D120" s="1" t="s">
        <v>120</v>
      </c>
      <c r="E120" s="1" t="s">
        <v>120</v>
      </c>
      <c r="F120" s="1" t="s">
        <v>24</v>
      </c>
      <c r="G120" s="1">
        <v>25</v>
      </c>
      <c r="H120" s="1" t="s">
        <v>25</v>
      </c>
      <c r="I120" s="1" t="s">
        <v>88</v>
      </c>
      <c r="J120" s="1" t="s">
        <v>213</v>
      </c>
      <c r="K120" s="14">
        <v>3</v>
      </c>
      <c r="L120" s="1">
        <v>8311</v>
      </c>
      <c r="M120" s="1">
        <v>20</v>
      </c>
      <c r="N120" s="1">
        <f>Table1[[#This Row],[Discount]]/100</f>
        <v>0.2</v>
      </c>
      <c r="O120" s="1">
        <v>4986.6000000000004</v>
      </c>
      <c r="P120" s="1">
        <v>19946.400000000001</v>
      </c>
      <c r="Q120" s="1">
        <v>223</v>
      </c>
      <c r="R120" s="1">
        <v>20169.400000000001</v>
      </c>
      <c r="S120" s="1" t="s">
        <v>93</v>
      </c>
      <c r="T120" s="1" t="s">
        <v>118</v>
      </c>
      <c r="U120" s="1" t="s">
        <v>70</v>
      </c>
      <c r="W120" s="18"/>
    </row>
    <row r="121" spans="1:23" x14ac:dyDescent="0.25">
      <c r="A121" s="2" t="s">
        <v>317</v>
      </c>
      <c r="B121" s="1" t="s">
        <v>193</v>
      </c>
      <c r="C121" s="8">
        <v>45767</v>
      </c>
      <c r="D121" s="1" t="s">
        <v>87</v>
      </c>
      <c r="E121" s="1" t="s">
        <v>87</v>
      </c>
      <c r="F121" s="1" t="s">
        <v>24</v>
      </c>
      <c r="G121" s="1">
        <v>52</v>
      </c>
      <c r="H121" s="1" t="s">
        <v>69</v>
      </c>
      <c r="I121" s="1" t="s">
        <v>88</v>
      </c>
      <c r="J121" s="1" t="s">
        <v>213</v>
      </c>
      <c r="K121" s="14">
        <v>3</v>
      </c>
      <c r="L121" s="1">
        <v>1594</v>
      </c>
      <c r="M121" s="1">
        <v>25</v>
      </c>
      <c r="N121" s="1">
        <f>Table1[[#This Row],[Discount]]/100</f>
        <v>0.25</v>
      </c>
      <c r="O121" s="1">
        <v>1195.5</v>
      </c>
      <c r="P121" s="1">
        <v>3586.5</v>
      </c>
      <c r="Q121" s="1">
        <v>142</v>
      </c>
      <c r="R121" s="1">
        <v>3728.5</v>
      </c>
      <c r="S121" s="1" t="s">
        <v>47</v>
      </c>
      <c r="T121" s="1" t="s">
        <v>39</v>
      </c>
      <c r="U121" s="1" t="s">
        <v>30</v>
      </c>
      <c r="V121" s="11">
        <v>2</v>
      </c>
      <c r="W121" s="18">
        <v>4</v>
      </c>
    </row>
    <row r="122" spans="1:23" x14ac:dyDescent="0.25">
      <c r="A122" s="2" t="s">
        <v>318</v>
      </c>
      <c r="B122" s="1" t="s">
        <v>301</v>
      </c>
      <c r="C122" s="8">
        <v>45899</v>
      </c>
      <c r="D122" s="1" t="s">
        <v>73</v>
      </c>
      <c r="E122" s="1" t="s">
        <v>73</v>
      </c>
      <c r="F122" s="1" t="s">
        <v>24</v>
      </c>
      <c r="G122" s="1">
        <v>26</v>
      </c>
      <c r="H122" s="1" t="s">
        <v>35</v>
      </c>
      <c r="I122" s="1" t="s">
        <v>36</v>
      </c>
      <c r="J122" s="1" t="s">
        <v>37</v>
      </c>
      <c r="K122" s="14">
        <v>2</v>
      </c>
      <c r="L122" s="1">
        <v>2307</v>
      </c>
      <c r="M122" s="1">
        <v>0</v>
      </c>
      <c r="N122" s="1">
        <f>Table1[[#This Row],[Discount]]/100</f>
        <v>0</v>
      </c>
      <c r="O122" s="1">
        <v>0</v>
      </c>
      <c r="P122" s="1">
        <v>4614</v>
      </c>
      <c r="Q122" s="1">
        <v>104</v>
      </c>
      <c r="R122" s="1">
        <v>4718</v>
      </c>
      <c r="S122" s="1" t="s">
        <v>93</v>
      </c>
      <c r="T122" s="1" t="s">
        <v>29</v>
      </c>
      <c r="U122" s="1" t="s">
        <v>30</v>
      </c>
      <c r="V122" s="11">
        <v>1</v>
      </c>
      <c r="W122" s="18">
        <v>3</v>
      </c>
    </row>
    <row r="123" spans="1:23" x14ac:dyDescent="0.25">
      <c r="A123" s="2" t="s">
        <v>319</v>
      </c>
      <c r="B123" s="1" t="s">
        <v>215</v>
      </c>
      <c r="C123" s="8">
        <v>45931</v>
      </c>
      <c r="D123" s="1" t="s">
        <v>107</v>
      </c>
      <c r="E123" s="1" t="s">
        <v>107</v>
      </c>
      <c r="F123" s="1" t="s">
        <v>34</v>
      </c>
      <c r="G123" s="1">
        <v>20</v>
      </c>
      <c r="H123" s="1" t="s">
        <v>57</v>
      </c>
      <c r="I123" s="1" t="s">
        <v>45</v>
      </c>
      <c r="J123" s="1" t="s">
        <v>146</v>
      </c>
      <c r="K123" s="14">
        <v>2</v>
      </c>
      <c r="L123" s="1">
        <v>322</v>
      </c>
      <c r="M123" s="1">
        <v>0</v>
      </c>
      <c r="N123" s="1">
        <f>Table1[[#This Row],[Discount]]/100</f>
        <v>0</v>
      </c>
      <c r="O123" s="1">
        <v>0</v>
      </c>
      <c r="P123" s="1">
        <v>644</v>
      </c>
      <c r="Q123" s="1">
        <v>79</v>
      </c>
      <c r="R123" s="1">
        <v>723</v>
      </c>
      <c r="S123" s="1" t="s">
        <v>47</v>
      </c>
      <c r="T123" s="1" t="s">
        <v>39</v>
      </c>
      <c r="U123" s="1" t="s">
        <v>40</v>
      </c>
      <c r="V123" s="11">
        <v>6</v>
      </c>
      <c r="W123" s="18"/>
    </row>
    <row r="124" spans="1:23" x14ac:dyDescent="0.25">
      <c r="A124" s="2" t="s">
        <v>320</v>
      </c>
      <c r="B124" s="1" t="s">
        <v>321</v>
      </c>
      <c r="C124" s="8">
        <v>45803</v>
      </c>
      <c r="D124" s="1" t="s">
        <v>87</v>
      </c>
      <c r="E124" s="1" t="s">
        <v>87</v>
      </c>
      <c r="F124" s="1" t="s">
        <v>24</v>
      </c>
      <c r="G124" s="1">
        <v>59</v>
      </c>
      <c r="H124" s="1" t="s">
        <v>57</v>
      </c>
      <c r="I124" s="1" t="s">
        <v>45</v>
      </c>
      <c r="J124" s="1" t="s">
        <v>146</v>
      </c>
      <c r="K124" s="14">
        <v>2</v>
      </c>
      <c r="L124" s="1">
        <v>1302</v>
      </c>
      <c r="M124" s="1">
        <v>0</v>
      </c>
      <c r="N124" s="1">
        <f>Table1[[#This Row],[Discount]]/100</f>
        <v>0</v>
      </c>
      <c r="O124" s="1">
        <v>0</v>
      </c>
      <c r="P124" s="1">
        <v>2604</v>
      </c>
      <c r="Q124" s="1">
        <v>105</v>
      </c>
      <c r="R124" s="1">
        <v>2709</v>
      </c>
      <c r="S124" s="1" t="s">
        <v>47</v>
      </c>
      <c r="T124" s="1" t="s">
        <v>29</v>
      </c>
      <c r="U124" s="1" t="s">
        <v>80</v>
      </c>
      <c r="W124" s="18"/>
    </row>
    <row r="125" spans="1:23" x14ac:dyDescent="0.25">
      <c r="A125" s="2" t="s">
        <v>322</v>
      </c>
      <c r="B125" s="1" t="s">
        <v>289</v>
      </c>
      <c r="C125" s="8">
        <v>45809</v>
      </c>
      <c r="D125" s="1" t="s">
        <v>78</v>
      </c>
      <c r="E125" s="1" t="s">
        <v>78</v>
      </c>
      <c r="F125" s="1" t="s">
        <v>24</v>
      </c>
      <c r="G125" s="1">
        <v>30</v>
      </c>
      <c r="H125" s="1" t="s">
        <v>57</v>
      </c>
      <c r="I125" s="1" t="s">
        <v>88</v>
      </c>
      <c r="J125" s="1" t="s">
        <v>213</v>
      </c>
      <c r="K125" s="14">
        <v>1</v>
      </c>
      <c r="L125" s="1">
        <v>7818</v>
      </c>
      <c r="M125" s="1">
        <v>0</v>
      </c>
      <c r="N125" s="1">
        <f>Table1[[#This Row],[Discount]]/100</f>
        <v>0</v>
      </c>
      <c r="O125" s="1">
        <v>0</v>
      </c>
      <c r="P125" s="1">
        <v>7818</v>
      </c>
      <c r="Q125" s="1">
        <v>222</v>
      </c>
      <c r="R125" s="1">
        <v>8040</v>
      </c>
      <c r="S125" s="1" t="s">
        <v>93</v>
      </c>
      <c r="T125" s="1" t="s">
        <v>29</v>
      </c>
      <c r="U125" s="1" t="s">
        <v>40</v>
      </c>
      <c r="V125" s="11">
        <v>5</v>
      </c>
      <c r="W125" s="18"/>
    </row>
    <row r="126" spans="1:23" x14ac:dyDescent="0.25">
      <c r="A126" s="2" t="s">
        <v>323</v>
      </c>
      <c r="B126" s="1" t="s">
        <v>324</v>
      </c>
      <c r="C126" s="8">
        <v>45886</v>
      </c>
      <c r="D126" s="1" t="s">
        <v>83</v>
      </c>
      <c r="E126" s="1" t="s">
        <v>83</v>
      </c>
      <c r="F126" s="1" t="s">
        <v>24</v>
      </c>
      <c r="G126" s="1">
        <v>35</v>
      </c>
      <c r="H126" s="1" t="s">
        <v>25</v>
      </c>
      <c r="I126" s="1" t="s">
        <v>26</v>
      </c>
      <c r="J126" s="1" t="s">
        <v>283</v>
      </c>
      <c r="K126" s="14">
        <v>1</v>
      </c>
      <c r="L126" s="1">
        <v>25019</v>
      </c>
      <c r="M126" s="1">
        <v>0</v>
      </c>
      <c r="N126" s="1">
        <f>Table1[[#This Row],[Discount]]/100</f>
        <v>0</v>
      </c>
      <c r="O126" s="1">
        <v>0</v>
      </c>
      <c r="P126" s="1">
        <v>25019</v>
      </c>
      <c r="Q126" s="1">
        <v>80</v>
      </c>
      <c r="R126" s="1">
        <v>25099</v>
      </c>
      <c r="S126" s="1" t="s">
        <v>28</v>
      </c>
      <c r="T126" s="1" t="s">
        <v>118</v>
      </c>
      <c r="U126" s="1" t="s">
        <v>30</v>
      </c>
      <c r="V126" s="11">
        <v>7</v>
      </c>
      <c r="W126" s="18">
        <v>4</v>
      </c>
    </row>
    <row r="127" spans="1:23" x14ac:dyDescent="0.25">
      <c r="A127" s="2" t="s">
        <v>325</v>
      </c>
      <c r="B127" s="1" t="s">
        <v>326</v>
      </c>
      <c r="C127" s="8">
        <v>46018</v>
      </c>
      <c r="D127" s="1" t="s">
        <v>23</v>
      </c>
      <c r="E127" s="1" t="s">
        <v>23</v>
      </c>
      <c r="F127" s="1" t="s">
        <v>34</v>
      </c>
      <c r="G127" s="1">
        <v>37</v>
      </c>
      <c r="H127" s="1" t="s">
        <v>69</v>
      </c>
      <c r="I127" s="1" t="s">
        <v>88</v>
      </c>
      <c r="J127" s="1" t="s">
        <v>213</v>
      </c>
      <c r="K127" s="14">
        <v>1</v>
      </c>
      <c r="L127" s="1">
        <v>5326</v>
      </c>
      <c r="M127" s="1">
        <v>20</v>
      </c>
      <c r="N127" s="1">
        <f>Table1[[#This Row],[Discount]]/100</f>
        <v>0.2</v>
      </c>
      <c r="O127" s="1">
        <v>1065.2</v>
      </c>
      <c r="P127" s="1">
        <v>4260.8</v>
      </c>
      <c r="Q127" s="1">
        <v>247</v>
      </c>
      <c r="R127" s="1">
        <v>4507.8</v>
      </c>
      <c r="S127" s="1" t="s">
        <v>38</v>
      </c>
      <c r="T127" s="1" t="s">
        <v>29</v>
      </c>
      <c r="U127" s="1" t="s">
        <v>80</v>
      </c>
      <c r="W127" s="18"/>
    </row>
    <row r="128" spans="1:23" x14ac:dyDescent="0.25">
      <c r="A128" s="2" t="s">
        <v>327</v>
      </c>
      <c r="B128" s="1" t="s">
        <v>268</v>
      </c>
      <c r="C128" s="8">
        <v>45998</v>
      </c>
      <c r="D128" s="1" t="s">
        <v>33</v>
      </c>
      <c r="E128" s="1" t="s">
        <v>33</v>
      </c>
      <c r="F128" s="1" t="s">
        <v>34</v>
      </c>
      <c r="G128" s="1">
        <v>31</v>
      </c>
      <c r="H128" s="1" t="s">
        <v>25</v>
      </c>
      <c r="I128" s="1" t="s">
        <v>74</v>
      </c>
      <c r="J128" s="1" t="s">
        <v>75</v>
      </c>
      <c r="K128" s="14">
        <v>4</v>
      </c>
      <c r="L128" s="1">
        <v>4127</v>
      </c>
      <c r="M128" s="1">
        <v>15</v>
      </c>
      <c r="N128" s="1">
        <f>Table1[[#This Row],[Discount]]/100</f>
        <v>0.15</v>
      </c>
      <c r="O128" s="1">
        <v>2476.1999999999998</v>
      </c>
      <c r="P128" s="1">
        <v>14031.8</v>
      </c>
      <c r="Q128" s="1">
        <v>225</v>
      </c>
      <c r="R128" s="1">
        <v>14256.8</v>
      </c>
      <c r="S128" s="1" t="s">
        <v>28</v>
      </c>
      <c r="T128" s="1" t="s">
        <v>29</v>
      </c>
      <c r="U128" s="1" t="s">
        <v>40</v>
      </c>
      <c r="V128" s="11">
        <v>7</v>
      </c>
      <c r="W128" s="18"/>
    </row>
    <row r="129" spans="1:23" x14ac:dyDescent="0.25">
      <c r="A129" s="2" t="s">
        <v>328</v>
      </c>
      <c r="B129" s="1" t="s">
        <v>329</v>
      </c>
      <c r="C129" s="8">
        <v>45742</v>
      </c>
      <c r="D129" s="1" t="s">
        <v>78</v>
      </c>
      <c r="E129" s="1" t="s">
        <v>78</v>
      </c>
      <c r="F129" s="1" t="s">
        <v>24</v>
      </c>
      <c r="G129" s="1">
        <v>51</v>
      </c>
      <c r="H129" s="1" t="s">
        <v>35</v>
      </c>
      <c r="I129" s="1" t="s">
        <v>58</v>
      </c>
      <c r="J129" s="1" t="s">
        <v>62</v>
      </c>
      <c r="K129" s="14">
        <v>1</v>
      </c>
      <c r="L129" s="1">
        <v>3848</v>
      </c>
      <c r="M129" s="1">
        <v>5</v>
      </c>
      <c r="N129" s="1">
        <f>Table1[[#This Row],[Discount]]/100</f>
        <v>0.05</v>
      </c>
      <c r="O129" s="1">
        <v>192.4</v>
      </c>
      <c r="P129" s="1">
        <v>3655.6</v>
      </c>
      <c r="Q129" s="1">
        <v>58</v>
      </c>
      <c r="R129" s="1">
        <v>3713.6</v>
      </c>
      <c r="S129" s="1" t="s">
        <v>66</v>
      </c>
      <c r="T129" s="1" t="s">
        <v>29</v>
      </c>
      <c r="U129" s="1" t="s">
        <v>30</v>
      </c>
      <c r="V129" s="11">
        <v>3</v>
      </c>
      <c r="W129" s="18">
        <v>4</v>
      </c>
    </row>
    <row r="130" spans="1:23" x14ac:dyDescent="0.25">
      <c r="A130" s="2" t="s">
        <v>330</v>
      </c>
      <c r="B130" s="1" t="s">
        <v>331</v>
      </c>
      <c r="C130" s="8">
        <v>46002</v>
      </c>
      <c r="D130" s="1" t="s">
        <v>78</v>
      </c>
      <c r="E130" s="1" t="s">
        <v>78</v>
      </c>
      <c r="F130" s="1" t="s">
        <v>44</v>
      </c>
      <c r="G130" s="1">
        <v>37</v>
      </c>
      <c r="H130" s="1" t="s">
        <v>69</v>
      </c>
      <c r="I130" s="1" t="s">
        <v>26</v>
      </c>
      <c r="J130" s="1" t="s">
        <v>79</v>
      </c>
      <c r="K130" s="14">
        <v>4</v>
      </c>
      <c r="L130" s="1">
        <v>8092</v>
      </c>
      <c r="M130" s="1">
        <v>20</v>
      </c>
      <c r="N130" s="1">
        <f>Table1[[#This Row],[Discount]]/100</f>
        <v>0.2</v>
      </c>
      <c r="O130" s="1">
        <v>6473.6</v>
      </c>
      <c r="P130" s="1">
        <v>25894.400000000001</v>
      </c>
      <c r="Q130" s="1">
        <v>138</v>
      </c>
      <c r="R130" s="1">
        <v>26032.400000000001</v>
      </c>
      <c r="S130" s="1" t="s">
        <v>28</v>
      </c>
      <c r="T130" s="1" t="s">
        <v>29</v>
      </c>
      <c r="U130" s="1" t="s">
        <v>30</v>
      </c>
      <c r="V130" s="11">
        <v>7</v>
      </c>
      <c r="W130" s="18">
        <v>5</v>
      </c>
    </row>
    <row r="131" spans="1:23" x14ac:dyDescent="0.25">
      <c r="A131" s="2" t="s">
        <v>332</v>
      </c>
      <c r="B131" s="1" t="s">
        <v>333</v>
      </c>
      <c r="C131" s="8">
        <v>45674</v>
      </c>
      <c r="D131" s="1" t="s">
        <v>33</v>
      </c>
      <c r="E131" s="1" t="s">
        <v>33</v>
      </c>
      <c r="F131" s="1" t="s">
        <v>34</v>
      </c>
      <c r="G131" s="1">
        <v>44</v>
      </c>
      <c r="H131" s="1" t="s">
        <v>57</v>
      </c>
      <c r="I131" s="1" t="s">
        <v>58</v>
      </c>
      <c r="J131" s="1" t="s">
        <v>104</v>
      </c>
      <c r="K131" s="14">
        <v>1</v>
      </c>
      <c r="L131" s="1">
        <v>396</v>
      </c>
      <c r="M131" s="1">
        <v>0</v>
      </c>
      <c r="N131" s="1">
        <f>Table1[[#This Row],[Discount]]/100</f>
        <v>0</v>
      </c>
      <c r="O131" s="1">
        <v>0</v>
      </c>
      <c r="P131" s="1">
        <v>396</v>
      </c>
      <c r="Q131" s="1">
        <v>140</v>
      </c>
      <c r="R131" s="1">
        <v>536</v>
      </c>
      <c r="S131" s="1" t="s">
        <v>38</v>
      </c>
      <c r="T131" s="1" t="s">
        <v>118</v>
      </c>
      <c r="U131" s="1" t="s">
        <v>70</v>
      </c>
      <c r="W131" s="18"/>
    </row>
    <row r="132" spans="1:23" x14ac:dyDescent="0.25">
      <c r="A132" s="2" t="s">
        <v>334</v>
      </c>
      <c r="B132" s="1" t="s">
        <v>335</v>
      </c>
      <c r="C132" s="8">
        <v>45772</v>
      </c>
      <c r="D132" s="1" t="s">
        <v>78</v>
      </c>
      <c r="E132" s="1" t="s">
        <v>78</v>
      </c>
      <c r="F132" s="1" t="s">
        <v>44</v>
      </c>
      <c r="G132" s="1">
        <v>18</v>
      </c>
      <c r="H132" s="1" t="s">
        <v>25</v>
      </c>
      <c r="I132" s="1" t="s">
        <v>45</v>
      </c>
      <c r="J132" s="1" t="s">
        <v>146</v>
      </c>
      <c r="K132" s="14">
        <v>1</v>
      </c>
      <c r="L132" s="1">
        <v>565</v>
      </c>
      <c r="M132" s="1">
        <v>15</v>
      </c>
      <c r="N132" s="1">
        <f>Table1[[#This Row],[Discount]]/100</f>
        <v>0.15</v>
      </c>
      <c r="O132" s="1">
        <v>84.75</v>
      </c>
      <c r="P132" s="1">
        <v>480.25</v>
      </c>
      <c r="Q132" s="1">
        <v>206</v>
      </c>
      <c r="R132" s="1">
        <v>686.25</v>
      </c>
      <c r="S132" s="1" t="s">
        <v>93</v>
      </c>
      <c r="T132" s="1" t="s">
        <v>29</v>
      </c>
      <c r="U132" s="1" t="s">
        <v>30</v>
      </c>
      <c r="V132" s="11">
        <v>7</v>
      </c>
      <c r="W132" s="18">
        <v>3</v>
      </c>
    </row>
    <row r="133" spans="1:23" x14ac:dyDescent="0.25">
      <c r="A133" s="2" t="s">
        <v>336</v>
      </c>
      <c r="B133" s="1" t="s">
        <v>139</v>
      </c>
      <c r="C133" s="8">
        <v>45996</v>
      </c>
      <c r="D133" s="1" t="s">
        <v>96</v>
      </c>
      <c r="E133" s="1" t="s">
        <v>96</v>
      </c>
      <c r="F133" s="1" t="s">
        <v>34</v>
      </c>
      <c r="G133" s="1">
        <v>57</v>
      </c>
      <c r="H133" s="1" t="s">
        <v>35</v>
      </c>
      <c r="I133" s="1" t="s">
        <v>74</v>
      </c>
      <c r="J133" s="1" t="s">
        <v>75</v>
      </c>
      <c r="K133" s="14">
        <v>4</v>
      </c>
      <c r="L133" s="1">
        <v>1670</v>
      </c>
      <c r="M133" s="1">
        <v>25</v>
      </c>
      <c r="N133" s="1">
        <f>Table1[[#This Row],[Discount]]/100</f>
        <v>0.25</v>
      </c>
      <c r="O133" s="1">
        <v>1670</v>
      </c>
      <c r="P133" s="1">
        <v>5010</v>
      </c>
      <c r="Q133" s="1">
        <v>28</v>
      </c>
      <c r="R133" s="1">
        <v>5038</v>
      </c>
      <c r="S133" s="1" t="s">
        <v>47</v>
      </c>
      <c r="T133" s="1" t="s">
        <v>39</v>
      </c>
      <c r="U133" s="1" t="s">
        <v>53</v>
      </c>
      <c r="W133" s="18"/>
    </row>
    <row r="134" spans="1:23" x14ac:dyDescent="0.25">
      <c r="A134" s="2" t="s">
        <v>337</v>
      </c>
      <c r="B134" s="1" t="s">
        <v>22</v>
      </c>
      <c r="C134" s="8">
        <v>45686</v>
      </c>
      <c r="D134" s="1" t="s">
        <v>43</v>
      </c>
      <c r="E134" s="1" t="s">
        <v>43</v>
      </c>
      <c r="F134" s="1" t="s">
        <v>24</v>
      </c>
      <c r="G134" s="1">
        <v>50</v>
      </c>
      <c r="H134" s="1" t="s">
        <v>25</v>
      </c>
      <c r="I134" s="1" t="s">
        <v>58</v>
      </c>
      <c r="J134" s="1" t="s">
        <v>104</v>
      </c>
      <c r="K134" s="14">
        <v>4</v>
      </c>
      <c r="L134" s="1">
        <v>1947</v>
      </c>
      <c r="M134" s="1">
        <v>20</v>
      </c>
      <c r="N134" s="1">
        <f>Table1[[#This Row],[Discount]]/100</f>
        <v>0.2</v>
      </c>
      <c r="O134" s="1">
        <v>1557.6</v>
      </c>
      <c r="P134" s="1">
        <v>6230.4</v>
      </c>
      <c r="Q134" s="1">
        <v>241</v>
      </c>
      <c r="R134" s="1">
        <v>6471.4</v>
      </c>
      <c r="S134" s="1" t="s">
        <v>38</v>
      </c>
      <c r="T134" s="1" t="s">
        <v>29</v>
      </c>
      <c r="U134" s="1" t="s">
        <v>30</v>
      </c>
      <c r="V134" s="11">
        <v>2</v>
      </c>
      <c r="W134" s="18">
        <v>4</v>
      </c>
    </row>
    <row r="135" spans="1:23" x14ac:dyDescent="0.25">
      <c r="A135" s="2" t="s">
        <v>338</v>
      </c>
      <c r="B135" s="1" t="s">
        <v>339</v>
      </c>
      <c r="C135" s="8">
        <v>45747</v>
      </c>
      <c r="D135" s="1" t="s">
        <v>73</v>
      </c>
      <c r="E135" s="1" t="s">
        <v>73</v>
      </c>
      <c r="F135" s="1" t="s">
        <v>34</v>
      </c>
      <c r="G135" s="1">
        <v>45</v>
      </c>
      <c r="H135" s="1" t="s">
        <v>69</v>
      </c>
      <c r="I135" s="1" t="s">
        <v>36</v>
      </c>
      <c r="J135" s="1" t="s">
        <v>156</v>
      </c>
      <c r="K135" s="14">
        <v>2</v>
      </c>
      <c r="L135" s="1">
        <v>2861</v>
      </c>
      <c r="M135" s="1">
        <v>10</v>
      </c>
      <c r="N135" s="1">
        <f>Table1[[#This Row],[Discount]]/100</f>
        <v>0.1</v>
      </c>
      <c r="O135" s="1">
        <v>572.20000000000005</v>
      </c>
      <c r="P135" s="1">
        <v>5149.8</v>
      </c>
      <c r="Q135" s="1">
        <v>171</v>
      </c>
      <c r="R135" s="1">
        <v>5320.8</v>
      </c>
      <c r="S135" s="1" t="s">
        <v>66</v>
      </c>
      <c r="T135" s="1" t="s">
        <v>29</v>
      </c>
      <c r="U135" s="1" t="s">
        <v>30</v>
      </c>
      <c r="V135" s="11">
        <v>6</v>
      </c>
      <c r="W135" s="18">
        <v>4.5</v>
      </c>
    </row>
    <row r="136" spans="1:23" x14ac:dyDescent="0.25">
      <c r="A136" s="2" t="s">
        <v>340</v>
      </c>
      <c r="B136" s="1" t="s">
        <v>341</v>
      </c>
      <c r="C136" s="8">
        <v>45773</v>
      </c>
      <c r="D136" s="1" t="s">
        <v>96</v>
      </c>
      <c r="E136" s="1" t="s">
        <v>96</v>
      </c>
      <c r="F136" s="1" t="s">
        <v>34</v>
      </c>
      <c r="G136" s="1">
        <v>27</v>
      </c>
      <c r="H136" s="1" t="s">
        <v>25</v>
      </c>
      <c r="I136" s="1" t="s">
        <v>58</v>
      </c>
      <c r="J136" s="1" t="s">
        <v>62</v>
      </c>
      <c r="K136" s="14">
        <v>4</v>
      </c>
      <c r="L136" s="1">
        <v>903</v>
      </c>
      <c r="M136" s="1">
        <v>20</v>
      </c>
      <c r="N136" s="1">
        <f>Table1[[#This Row],[Discount]]/100</f>
        <v>0.2</v>
      </c>
      <c r="O136" s="1">
        <v>722.4</v>
      </c>
      <c r="P136" s="1">
        <v>2889.6</v>
      </c>
      <c r="Q136" s="1">
        <v>237</v>
      </c>
      <c r="R136" s="1">
        <v>3126.6</v>
      </c>
      <c r="S136" s="1" t="s">
        <v>93</v>
      </c>
      <c r="T136" s="1" t="s">
        <v>118</v>
      </c>
      <c r="U136" s="1" t="s">
        <v>30</v>
      </c>
      <c r="V136" s="11">
        <v>3</v>
      </c>
      <c r="W136" s="18">
        <v>4</v>
      </c>
    </row>
    <row r="137" spans="1:23" x14ac:dyDescent="0.25">
      <c r="A137" s="2" t="s">
        <v>342</v>
      </c>
      <c r="B137" s="1" t="s">
        <v>235</v>
      </c>
      <c r="C137" s="8">
        <v>45932</v>
      </c>
      <c r="D137" s="1" t="s">
        <v>120</v>
      </c>
      <c r="E137" s="1" t="s">
        <v>120</v>
      </c>
      <c r="F137" s="1" t="s">
        <v>44</v>
      </c>
      <c r="G137" s="1">
        <v>30</v>
      </c>
      <c r="H137" s="1" t="s">
        <v>57</v>
      </c>
      <c r="I137" s="1" t="s">
        <v>58</v>
      </c>
      <c r="J137" s="1" t="s">
        <v>59</v>
      </c>
      <c r="K137" s="14">
        <v>4</v>
      </c>
      <c r="L137" s="1">
        <v>2798</v>
      </c>
      <c r="M137" s="1">
        <v>15</v>
      </c>
      <c r="N137" s="1">
        <f>Table1[[#This Row],[Discount]]/100</f>
        <v>0.15</v>
      </c>
      <c r="O137" s="1">
        <v>1678.8</v>
      </c>
      <c r="P137" s="1">
        <v>9513.2000000000007</v>
      </c>
      <c r="Q137" s="1">
        <v>43</v>
      </c>
      <c r="R137" s="1">
        <v>9556.2000000000007</v>
      </c>
      <c r="S137" s="1" t="s">
        <v>66</v>
      </c>
      <c r="T137" s="1" t="s">
        <v>29</v>
      </c>
      <c r="U137" s="1" t="s">
        <v>53</v>
      </c>
      <c r="W137" s="18"/>
    </row>
    <row r="138" spans="1:23" x14ac:dyDescent="0.25">
      <c r="A138" s="2" t="s">
        <v>343</v>
      </c>
      <c r="B138" s="1" t="s">
        <v>344</v>
      </c>
      <c r="C138" s="8">
        <v>45766</v>
      </c>
      <c r="D138" s="1" t="s">
        <v>73</v>
      </c>
      <c r="E138" s="1" t="s">
        <v>73</v>
      </c>
      <c r="F138" s="1" t="s">
        <v>44</v>
      </c>
      <c r="G138" s="1">
        <v>25</v>
      </c>
      <c r="H138" s="1" t="s">
        <v>35</v>
      </c>
      <c r="I138" s="1" t="s">
        <v>26</v>
      </c>
      <c r="J138" s="1" t="s">
        <v>27</v>
      </c>
      <c r="K138" s="14">
        <v>2</v>
      </c>
      <c r="L138" s="1">
        <v>74049</v>
      </c>
      <c r="M138" s="1">
        <v>10</v>
      </c>
      <c r="N138" s="1">
        <f>Table1[[#This Row],[Discount]]/100</f>
        <v>0.1</v>
      </c>
      <c r="O138" s="1">
        <v>14809.8</v>
      </c>
      <c r="P138" s="1">
        <v>133288.20000000001</v>
      </c>
      <c r="Q138" s="1">
        <v>23</v>
      </c>
      <c r="R138" s="1">
        <v>133311.20000000001</v>
      </c>
      <c r="S138" s="1" t="s">
        <v>66</v>
      </c>
      <c r="T138" s="1" t="s">
        <v>29</v>
      </c>
      <c r="U138" s="1" t="s">
        <v>30</v>
      </c>
      <c r="V138" s="11">
        <v>2</v>
      </c>
      <c r="W138" s="18">
        <v>5</v>
      </c>
    </row>
    <row r="139" spans="1:23" x14ac:dyDescent="0.25">
      <c r="A139" s="2" t="s">
        <v>345</v>
      </c>
      <c r="B139" s="1" t="s">
        <v>200</v>
      </c>
      <c r="C139" s="8">
        <v>45842</v>
      </c>
      <c r="D139" s="1" t="s">
        <v>102</v>
      </c>
      <c r="E139" s="1" t="s">
        <v>103</v>
      </c>
      <c r="F139" s="1" t="s">
        <v>24</v>
      </c>
      <c r="G139" s="1">
        <v>49</v>
      </c>
      <c r="H139" s="1" t="s">
        <v>57</v>
      </c>
      <c r="I139" s="1" t="s">
        <v>74</v>
      </c>
      <c r="J139" s="1" t="s">
        <v>172</v>
      </c>
      <c r="K139" s="14">
        <v>2</v>
      </c>
      <c r="L139" s="1">
        <v>3034</v>
      </c>
      <c r="M139" s="1">
        <v>25</v>
      </c>
      <c r="N139" s="1">
        <f>Table1[[#This Row],[Discount]]/100</f>
        <v>0.25</v>
      </c>
      <c r="O139" s="1">
        <v>1517</v>
      </c>
      <c r="P139" s="1">
        <v>4551</v>
      </c>
      <c r="Q139" s="1">
        <v>86</v>
      </c>
      <c r="R139" s="1">
        <v>4637</v>
      </c>
      <c r="S139" s="1" t="s">
        <v>38</v>
      </c>
      <c r="T139" s="1" t="s">
        <v>39</v>
      </c>
      <c r="U139" s="1" t="s">
        <v>30</v>
      </c>
      <c r="V139" s="11">
        <v>5</v>
      </c>
      <c r="W139" s="18">
        <v>4</v>
      </c>
    </row>
    <row r="140" spans="1:23" x14ac:dyDescent="0.25">
      <c r="A140" s="2" t="s">
        <v>346</v>
      </c>
      <c r="B140" s="1" t="s">
        <v>347</v>
      </c>
      <c r="C140" s="8">
        <v>45809</v>
      </c>
      <c r="D140" s="1" t="s">
        <v>83</v>
      </c>
      <c r="E140" s="1" t="s">
        <v>83</v>
      </c>
      <c r="F140" s="1" t="s">
        <v>44</v>
      </c>
      <c r="G140" s="1">
        <v>30</v>
      </c>
      <c r="H140" s="1" t="s">
        <v>25</v>
      </c>
      <c r="I140" s="1" t="s">
        <v>88</v>
      </c>
      <c r="J140" s="1" t="s">
        <v>162</v>
      </c>
      <c r="K140" s="14">
        <v>1</v>
      </c>
      <c r="L140" s="1">
        <v>2690</v>
      </c>
      <c r="M140" s="1">
        <v>20</v>
      </c>
      <c r="N140" s="1">
        <f>Table1[[#This Row],[Discount]]/100</f>
        <v>0.2</v>
      </c>
      <c r="O140" s="1">
        <v>538</v>
      </c>
      <c r="P140" s="1">
        <v>2152</v>
      </c>
      <c r="Q140" s="1">
        <v>126</v>
      </c>
      <c r="R140" s="1">
        <v>2278</v>
      </c>
      <c r="S140" s="1" t="s">
        <v>47</v>
      </c>
      <c r="T140" s="1" t="s">
        <v>118</v>
      </c>
      <c r="U140" s="1" t="s">
        <v>30</v>
      </c>
      <c r="V140" s="11">
        <v>2</v>
      </c>
      <c r="W140" s="18">
        <v>4</v>
      </c>
    </row>
    <row r="141" spans="1:23" x14ac:dyDescent="0.25">
      <c r="A141" s="2" t="s">
        <v>348</v>
      </c>
      <c r="B141" s="1" t="s">
        <v>349</v>
      </c>
      <c r="C141" s="8">
        <v>45937</v>
      </c>
      <c r="D141" s="1" t="s">
        <v>120</v>
      </c>
      <c r="E141" s="1" t="s">
        <v>120</v>
      </c>
      <c r="F141" s="1" t="s">
        <v>34</v>
      </c>
      <c r="G141" s="1">
        <v>29</v>
      </c>
      <c r="H141" s="1" t="s">
        <v>25</v>
      </c>
      <c r="I141" s="1" t="s">
        <v>36</v>
      </c>
      <c r="J141" s="1" t="s">
        <v>156</v>
      </c>
      <c r="K141" s="14">
        <v>3</v>
      </c>
      <c r="L141" s="1">
        <v>6402</v>
      </c>
      <c r="M141" s="1">
        <v>10</v>
      </c>
      <c r="N141" s="1">
        <f>Table1[[#This Row],[Discount]]/100</f>
        <v>0.1</v>
      </c>
      <c r="O141" s="1">
        <v>1920.6</v>
      </c>
      <c r="P141" s="1">
        <v>17285.400000000001</v>
      </c>
      <c r="Q141" s="1">
        <v>204</v>
      </c>
      <c r="R141" s="1">
        <v>17489.400000000001</v>
      </c>
      <c r="S141" s="1" t="s">
        <v>28</v>
      </c>
      <c r="T141" s="1" t="s">
        <v>39</v>
      </c>
      <c r="U141" s="1" t="s">
        <v>30</v>
      </c>
      <c r="V141" s="11">
        <v>4</v>
      </c>
      <c r="W141" s="18">
        <v>4.5</v>
      </c>
    </row>
    <row r="142" spans="1:23" x14ac:dyDescent="0.25">
      <c r="A142" s="2" t="s">
        <v>350</v>
      </c>
      <c r="B142" s="1" t="s">
        <v>136</v>
      </c>
      <c r="C142" s="8">
        <v>45849</v>
      </c>
      <c r="D142" s="1" t="s">
        <v>87</v>
      </c>
      <c r="E142" s="1" t="s">
        <v>87</v>
      </c>
      <c r="F142" s="1" t="s">
        <v>24</v>
      </c>
      <c r="G142" s="1">
        <v>57</v>
      </c>
      <c r="H142" s="1" t="s">
        <v>57</v>
      </c>
      <c r="I142" s="1" t="s">
        <v>36</v>
      </c>
      <c r="J142" s="1" t="s">
        <v>177</v>
      </c>
      <c r="K142" s="14">
        <v>1</v>
      </c>
      <c r="L142" s="1">
        <v>1637</v>
      </c>
      <c r="M142" s="1">
        <v>0</v>
      </c>
      <c r="N142" s="1">
        <f>Table1[[#This Row],[Discount]]/100</f>
        <v>0</v>
      </c>
      <c r="O142" s="1">
        <v>0</v>
      </c>
      <c r="P142" s="1">
        <v>1637</v>
      </c>
      <c r="Q142" s="1">
        <v>136</v>
      </c>
      <c r="R142" s="1">
        <v>1773</v>
      </c>
      <c r="S142" s="1" t="s">
        <v>66</v>
      </c>
      <c r="T142" s="1" t="s">
        <v>118</v>
      </c>
      <c r="U142" s="1" t="s">
        <v>30</v>
      </c>
      <c r="V142" s="11">
        <v>1</v>
      </c>
      <c r="W142" s="18">
        <v>5</v>
      </c>
    </row>
    <row r="143" spans="1:23" x14ac:dyDescent="0.25">
      <c r="A143" s="2" t="s">
        <v>351</v>
      </c>
      <c r="B143" s="1" t="s">
        <v>55</v>
      </c>
      <c r="C143" s="8">
        <v>45915</v>
      </c>
      <c r="D143" s="1" t="s">
        <v>153</v>
      </c>
      <c r="E143" s="1" t="s">
        <v>153</v>
      </c>
      <c r="F143" s="1" t="s">
        <v>34</v>
      </c>
      <c r="G143" s="1">
        <v>45</v>
      </c>
      <c r="H143" s="1" t="s">
        <v>50</v>
      </c>
      <c r="I143" s="1" t="s">
        <v>26</v>
      </c>
      <c r="J143" s="1" t="s">
        <v>79</v>
      </c>
      <c r="K143" s="14">
        <v>5</v>
      </c>
      <c r="L143" s="1">
        <v>54714</v>
      </c>
      <c r="M143" s="1">
        <v>20</v>
      </c>
      <c r="N143" s="1">
        <f>Table1[[#This Row],[Discount]]/100</f>
        <v>0.2</v>
      </c>
      <c r="O143" s="1">
        <v>54714</v>
      </c>
      <c r="P143" s="1">
        <v>218856</v>
      </c>
      <c r="Q143" s="1">
        <v>24</v>
      </c>
      <c r="R143" s="1">
        <v>218880</v>
      </c>
      <c r="S143" s="1" t="s">
        <v>28</v>
      </c>
      <c r="T143" s="1" t="s">
        <v>29</v>
      </c>
      <c r="U143" s="1" t="s">
        <v>70</v>
      </c>
      <c r="W143" s="18"/>
    </row>
    <row r="144" spans="1:23" x14ac:dyDescent="0.25">
      <c r="A144" s="2" t="s">
        <v>352</v>
      </c>
      <c r="B144" s="1" t="s">
        <v>176</v>
      </c>
      <c r="C144" s="8">
        <v>45893</v>
      </c>
      <c r="D144" s="1" t="s">
        <v>56</v>
      </c>
      <c r="E144" s="1" t="s">
        <v>56</v>
      </c>
      <c r="F144" s="1" t="s">
        <v>44</v>
      </c>
      <c r="G144" s="1">
        <v>33</v>
      </c>
      <c r="H144" s="1" t="s">
        <v>50</v>
      </c>
      <c r="I144" s="1" t="s">
        <v>74</v>
      </c>
      <c r="J144" s="1" t="s">
        <v>75</v>
      </c>
      <c r="K144" s="14">
        <v>5</v>
      </c>
      <c r="L144" s="1">
        <v>2467</v>
      </c>
      <c r="M144" s="1">
        <v>0</v>
      </c>
      <c r="N144" s="1">
        <f>Table1[[#This Row],[Discount]]/100</f>
        <v>0</v>
      </c>
      <c r="O144" s="1">
        <v>0</v>
      </c>
      <c r="P144" s="1">
        <v>12335</v>
      </c>
      <c r="Q144" s="1">
        <v>123</v>
      </c>
      <c r="R144" s="1">
        <v>12458</v>
      </c>
      <c r="S144" s="1" t="s">
        <v>66</v>
      </c>
      <c r="T144" s="1" t="s">
        <v>29</v>
      </c>
      <c r="U144" s="1" t="s">
        <v>30</v>
      </c>
      <c r="V144" s="11">
        <v>5</v>
      </c>
      <c r="W144" s="18">
        <v>5</v>
      </c>
    </row>
    <row r="145" spans="1:23" x14ac:dyDescent="0.25">
      <c r="A145" s="2" t="s">
        <v>353</v>
      </c>
      <c r="B145" s="1" t="s">
        <v>219</v>
      </c>
      <c r="C145" s="8">
        <v>45913</v>
      </c>
      <c r="D145" s="1" t="s">
        <v>140</v>
      </c>
      <c r="E145" s="1" t="s">
        <v>141</v>
      </c>
      <c r="F145" s="1" t="s">
        <v>44</v>
      </c>
      <c r="G145" s="1">
        <v>45</v>
      </c>
      <c r="H145" s="1" t="s">
        <v>25</v>
      </c>
      <c r="I145" s="1" t="s">
        <v>26</v>
      </c>
      <c r="J145" s="1" t="s">
        <v>27</v>
      </c>
      <c r="K145" s="14">
        <v>4</v>
      </c>
      <c r="L145" s="1">
        <v>50510</v>
      </c>
      <c r="M145" s="1">
        <v>0</v>
      </c>
      <c r="N145" s="1">
        <f>Table1[[#This Row],[Discount]]/100</f>
        <v>0</v>
      </c>
      <c r="O145" s="1">
        <v>0</v>
      </c>
      <c r="P145" s="1">
        <v>202040</v>
      </c>
      <c r="Q145" s="1">
        <v>41</v>
      </c>
      <c r="R145" s="1">
        <v>202081</v>
      </c>
      <c r="S145" s="1" t="s">
        <v>28</v>
      </c>
      <c r="T145" s="1" t="s">
        <v>29</v>
      </c>
      <c r="U145" s="1" t="s">
        <v>40</v>
      </c>
      <c r="V145" s="11">
        <v>7</v>
      </c>
      <c r="W145" s="18"/>
    </row>
    <row r="146" spans="1:23" x14ac:dyDescent="0.25">
      <c r="A146" s="2" t="s">
        <v>354</v>
      </c>
      <c r="B146" s="1" t="s">
        <v>355</v>
      </c>
      <c r="C146" s="8">
        <v>45994</v>
      </c>
      <c r="D146" s="1" t="s">
        <v>107</v>
      </c>
      <c r="E146" s="1" t="s">
        <v>107</v>
      </c>
      <c r="F146" s="1" t="s">
        <v>44</v>
      </c>
      <c r="G146" s="1">
        <v>29</v>
      </c>
      <c r="H146" s="1" t="s">
        <v>50</v>
      </c>
      <c r="I146" s="1" t="s">
        <v>26</v>
      </c>
      <c r="J146" s="1" t="s">
        <v>51</v>
      </c>
      <c r="K146" s="14">
        <v>2</v>
      </c>
      <c r="L146" s="1">
        <v>63124</v>
      </c>
      <c r="M146" s="1">
        <v>10</v>
      </c>
      <c r="N146" s="1">
        <f>Table1[[#This Row],[Discount]]/100</f>
        <v>0.1</v>
      </c>
      <c r="O146" s="1">
        <v>12624.8</v>
      </c>
      <c r="P146" s="1">
        <v>113623.2</v>
      </c>
      <c r="Q146" s="1">
        <v>164</v>
      </c>
      <c r="R146" s="1">
        <v>113787.2</v>
      </c>
      <c r="S146" s="1" t="s">
        <v>47</v>
      </c>
      <c r="T146" s="1" t="s">
        <v>29</v>
      </c>
      <c r="U146" s="1" t="s">
        <v>80</v>
      </c>
      <c r="W146" s="18"/>
    </row>
    <row r="147" spans="1:23" x14ac:dyDescent="0.25">
      <c r="A147" s="2" t="s">
        <v>356</v>
      </c>
      <c r="B147" s="1" t="s">
        <v>217</v>
      </c>
      <c r="C147" s="8">
        <v>45827</v>
      </c>
      <c r="D147" s="1" t="s">
        <v>56</v>
      </c>
      <c r="E147" s="1" t="s">
        <v>56</v>
      </c>
      <c r="F147" s="1" t="s">
        <v>24</v>
      </c>
      <c r="G147" s="1">
        <v>26</v>
      </c>
      <c r="H147" s="1" t="s">
        <v>50</v>
      </c>
      <c r="I147" s="1" t="s">
        <v>36</v>
      </c>
      <c r="J147" s="1" t="s">
        <v>92</v>
      </c>
      <c r="K147" s="14">
        <v>1</v>
      </c>
      <c r="L147" s="1">
        <v>7237</v>
      </c>
      <c r="M147" s="1">
        <v>15</v>
      </c>
      <c r="N147" s="1">
        <f>Table1[[#This Row],[Discount]]/100</f>
        <v>0.15</v>
      </c>
      <c r="O147" s="1">
        <v>1085.55</v>
      </c>
      <c r="P147" s="1">
        <v>6151.45</v>
      </c>
      <c r="Q147" s="1">
        <v>158</v>
      </c>
      <c r="R147" s="1">
        <v>6309.45</v>
      </c>
      <c r="S147" s="1" t="s">
        <v>52</v>
      </c>
      <c r="T147" s="1" t="s">
        <v>29</v>
      </c>
      <c r="U147" s="1" t="s">
        <v>40</v>
      </c>
      <c r="V147" s="11">
        <v>4</v>
      </c>
      <c r="W147" s="18"/>
    </row>
    <row r="148" spans="1:23" x14ac:dyDescent="0.25">
      <c r="A148" s="2" t="s">
        <v>357</v>
      </c>
      <c r="B148" s="1" t="s">
        <v>358</v>
      </c>
      <c r="C148" s="8">
        <v>45888</v>
      </c>
      <c r="D148" s="1" t="s">
        <v>83</v>
      </c>
      <c r="E148" s="1" t="s">
        <v>83</v>
      </c>
      <c r="F148" s="1" t="s">
        <v>24</v>
      </c>
      <c r="G148" s="1">
        <v>32</v>
      </c>
      <c r="H148" s="1" t="s">
        <v>57</v>
      </c>
      <c r="I148" s="1" t="s">
        <v>26</v>
      </c>
      <c r="J148" s="1" t="s">
        <v>27</v>
      </c>
      <c r="K148" s="14">
        <v>4</v>
      </c>
      <c r="L148" s="1">
        <v>31227</v>
      </c>
      <c r="M148" s="1">
        <v>0</v>
      </c>
      <c r="N148" s="1">
        <f>Table1[[#This Row],[Discount]]/100</f>
        <v>0</v>
      </c>
      <c r="O148" s="1">
        <v>0</v>
      </c>
      <c r="P148" s="1">
        <v>124908</v>
      </c>
      <c r="Q148" s="1">
        <v>220</v>
      </c>
      <c r="R148" s="1">
        <v>125128</v>
      </c>
      <c r="S148" s="1" t="s">
        <v>93</v>
      </c>
      <c r="T148" s="1" t="s">
        <v>39</v>
      </c>
      <c r="U148" s="1" t="s">
        <v>40</v>
      </c>
      <c r="V148" s="11">
        <v>4</v>
      </c>
      <c r="W148" s="18"/>
    </row>
    <row r="149" spans="1:23" x14ac:dyDescent="0.25">
      <c r="A149" s="2" t="s">
        <v>359</v>
      </c>
      <c r="B149" s="1" t="s">
        <v>270</v>
      </c>
      <c r="C149" s="8">
        <v>45736</v>
      </c>
      <c r="D149" s="1" t="s">
        <v>23</v>
      </c>
      <c r="E149" s="1" t="s">
        <v>23</v>
      </c>
      <c r="F149" s="1" t="s">
        <v>44</v>
      </c>
      <c r="G149" s="1">
        <v>42</v>
      </c>
      <c r="H149" s="1" t="s">
        <v>50</v>
      </c>
      <c r="I149" s="1" t="s">
        <v>58</v>
      </c>
      <c r="J149" s="1" t="s">
        <v>65</v>
      </c>
      <c r="K149" s="14">
        <v>1</v>
      </c>
      <c r="L149" s="1">
        <v>1247</v>
      </c>
      <c r="M149" s="1">
        <v>15</v>
      </c>
      <c r="N149" s="1">
        <f>Table1[[#This Row],[Discount]]/100</f>
        <v>0.15</v>
      </c>
      <c r="O149" s="1">
        <v>187.05</v>
      </c>
      <c r="P149" s="1">
        <v>1059.95</v>
      </c>
      <c r="Q149" s="1">
        <v>182</v>
      </c>
      <c r="R149" s="1">
        <v>1241.95</v>
      </c>
      <c r="S149" s="1" t="s">
        <v>28</v>
      </c>
      <c r="T149" s="1" t="s">
        <v>39</v>
      </c>
      <c r="U149" s="1" t="s">
        <v>40</v>
      </c>
      <c r="V149" s="11">
        <v>6</v>
      </c>
      <c r="W149" s="18"/>
    </row>
    <row r="150" spans="1:23" x14ac:dyDescent="0.25">
      <c r="A150" s="2" t="s">
        <v>360</v>
      </c>
      <c r="B150" s="1" t="s">
        <v>361</v>
      </c>
      <c r="C150" s="8">
        <v>45710</v>
      </c>
      <c r="D150" s="1" t="s">
        <v>110</v>
      </c>
      <c r="E150" s="1" t="s">
        <v>110</v>
      </c>
      <c r="F150" s="1" t="s">
        <v>34</v>
      </c>
      <c r="G150" s="1">
        <v>23</v>
      </c>
      <c r="H150" s="1" t="s">
        <v>25</v>
      </c>
      <c r="I150" s="1" t="s">
        <v>45</v>
      </c>
      <c r="J150" s="1" t="s">
        <v>111</v>
      </c>
      <c r="K150" s="14">
        <v>3</v>
      </c>
      <c r="L150" s="1">
        <v>847</v>
      </c>
      <c r="M150" s="1">
        <v>20</v>
      </c>
      <c r="N150" s="1">
        <f>Table1[[#This Row],[Discount]]/100</f>
        <v>0.2</v>
      </c>
      <c r="O150" s="1">
        <v>508.2</v>
      </c>
      <c r="P150" s="1">
        <v>2032.8</v>
      </c>
      <c r="Q150" s="1">
        <v>124</v>
      </c>
      <c r="R150" s="1">
        <v>2156.8000000000002</v>
      </c>
      <c r="S150" s="1" t="s">
        <v>52</v>
      </c>
      <c r="T150" s="1" t="s">
        <v>118</v>
      </c>
      <c r="U150" s="1" t="s">
        <v>30</v>
      </c>
      <c r="V150" s="11">
        <v>1</v>
      </c>
      <c r="W150" s="18">
        <v>4</v>
      </c>
    </row>
    <row r="151" spans="1:23" x14ac:dyDescent="0.25">
      <c r="A151" s="2" t="s">
        <v>362</v>
      </c>
      <c r="B151" s="1" t="s">
        <v>324</v>
      </c>
      <c r="C151" s="8">
        <v>45852</v>
      </c>
      <c r="D151" s="1" t="s">
        <v>87</v>
      </c>
      <c r="E151" s="1" t="s">
        <v>87</v>
      </c>
      <c r="F151" s="1" t="s">
        <v>44</v>
      </c>
      <c r="G151" s="1">
        <v>26</v>
      </c>
      <c r="H151" s="1" t="s">
        <v>57</v>
      </c>
      <c r="I151" s="1" t="s">
        <v>45</v>
      </c>
      <c r="J151" s="1" t="s">
        <v>46</v>
      </c>
      <c r="K151" s="14">
        <v>3</v>
      </c>
      <c r="L151" s="1">
        <v>2371</v>
      </c>
      <c r="M151" s="1">
        <v>20</v>
      </c>
      <c r="N151" s="1">
        <f>Table1[[#This Row],[Discount]]/100</f>
        <v>0.2</v>
      </c>
      <c r="O151" s="1">
        <v>1422.6</v>
      </c>
      <c r="P151" s="1">
        <v>5690.4</v>
      </c>
      <c r="Q151" s="1">
        <v>195</v>
      </c>
      <c r="R151" s="1">
        <v>5885.4</v>
      </c>
      <c r="S151" s="1" t="s">
        <v>47</v>
      </c>
      <c r="T151" s="1" t="s">
        <v>39</v>
      </c>
      <c r="U151" s="1" t="s">
        <v>30</v>
      </c>
      <c r="V151" s="11">
        <v>2</v>
      </c>
      <c r="W151" s="18">
        <v>4</v>
      </c>
    </row>
    <row r="152" spans="1:23" x14ac:dyDescent="0.25">
      <c r="A152" s="2" t="s">
        <v>363</v>
      </c>
      <c r="B152" s="1" t="s">
        <v>364</v>
      </c>
      <c r="C152" s="8">
        <v>45973</v>
      </c>
      <c r="D152" s="1" t="s">
        <v>56</v>
      </c>
      <c r="E152" s="1" t="s">
        <v>56</v>
      </c>
      <c r="F152" s="1" t="s">
        <v>34</v>
      </c>
      <c r="G152" s="1">
        <v>47</v>
      </c>
      <c r="H152" s="1" t="s">
        <v>69</v>
      </c>
      <c r="I152" s="1" t="s">
        <v>45</v>
      </c>
      <c r="J152" s="1" t="s">
        <v>111</v>
      </c>
      <c r="K152" s="14">
        <v>4</v>
      </c>
      <c r="L152" s="1">
        <v>1559</v>
      </c>
      <c r="M152" s="1">
        <v>25</v>
      </c>
      <c r="N152" s="1">
        <f>Table1[[#This Row],[Discount]]/100</f>
        <v>0.25</v>
      </c>
      <c r="O152" s="1">
        <v>1559</v>
      </c>
      <c r="P152" s="1">
        <v>4677</v>
      </c>
      <c r="Q152" s="1">
        <v>172</v>
      </c>
      <c r="R152" s="1">
        <v>4849</v>
      </c>
      <c r="S152" s="1" t="s">
        <v>28</v>
      </c>
      <c r="T152" s="1" t="s">
        <v>118</v>
      </c>
      <c r="U152" s="1" t="s">
        <v>40</v>
      </c>
      <c r="V152" s="11">
        <v>2</v>
      </c>
      <c r="W152" s="18"/>
    </row>
    <row r="153" spans="1:23" x14ac:dyDescent="0.25">
      <c r="A153" s="2" t="s">
        <v>365</v>
      </c>
      <c r="B153" s="1" t="s">
        <v>301</v>
      </c>
      <c r="C153" s="8">
        <v>45903</v>
      </c>
      <c r="D153" s="1" t="s">
        <v>83</v>
      </c>
      <c r="E153" s="1" t="s">
        <v>83</v>
      </c>
      <c r="F153" s="1" t="s">
        <v>44</v>
      </c>
      <c r="G153" s="1">
        <v>29</v>
      </c>
      <c r="H153" s="1" t="s">
        <v>69</v>
      </c>
      <c r="I153" s="1" t="s">
        <v>58</v>
      </c>
      <c r="J153" s="1" t="s">
        <v>65</v>
      </c>
      <c r="K153" s="14">
        <v>3</v>
      </c>
      <c r="L153" s="1">
        <v>1380</v>
      </c>
      <c r="M153" s="1">
        <v>20</v>
      </c>
      <c r="N153" s="1">
        <f>Table1[[#This Row],[Discount]]/100</f>
        <v>0.2</v>
      </c>
      <c r="O153" s="1">
        <v>828</v>
      </c>
      <c r="P153" s="1">
        <v>3312</v>
      </c>
      <c r="Q153" s="1">
        <v>71</v>
      </c>
      <c r="R153" s="1">
        <v>3383</v>
      </c>
      <c r="S153" s="1" t="s">
        <v>38</v>
      </c>
      <c r="T153" s="1" t="s">
        <v>29</v>
      </c>
      <c r="U153" s="1" t="s">
        <v>70</v>
      </c>
      <c r="W153" s="18"/>
    </row>
    <row r="154" spans="1:23" x14ac:dyDescent="0.25">
      <c r="A154" s="2" t="s">
        <v>366</v>
      </c>
      <c r="B154" s="1" t="s">
        <v>206</v>
      </c>
      <c r="C154" s="8">
        <v>45760</v>
      </c>
      <c r="D154" s="1" t="s">
        <v>102</v>
      </c>
      <c r="E154" s="1" t="s">
        <v>103</v>
      </c>
      <c r="F154" s="1" t="s">
        <v>24</v>
      </c>
      <c r="G154" s="1">
        <v>52</v>
      </c>
      <c r="H154" s="1" t="s">
        <v>50</v>
      </c>
      <c r="I154" s="1" t="s">
        <v>36</v>
      </c>
      <c r="J154" s="1" t="s">
        <v>92</v>
      </c>
      <c r="K154" s="14">
        <v>5</v>
      </c>
      <c r="L154" s="1">
        <v>6837</v>
      </c>
      <c r="M154" s="1">
        <v>15</v>
      </c>
      <c r="N154" s="1">
        <f>Table1[[#This Row],[Discount]]/100</f>
        <v>0.15</v>
      </c>
      <c r="O154" s="1">
        <v>5127.75</v>
      </c>
      <c r="P154" s="1">
        <v>29057.25</v>
      </c>
      <c r="Q154" s="1">
        <v>164</v>
      </c>
      <c r="R154" s="1">
        <v>29221.25</v>
      </c>
      <c r="S154" s="1" t="s">
        <v>66</v>
      </c>
      <c r="T154" s="1" t="s">
        <v>118</v>
      </c>
      <c r="U154" s="1" t="s">
        <v>30</v>
      </c>
      <c r="V154" s="11">
        <v>5</v>
      </c>
      <c r="W154" s="18">
        <v>3.5</v>
      </c>
    </row>
    <row r="155" spans="1:23" x14ac:dyDescent="0.25">
      <c r="A155" s="2" t="s">
        <v>367</v>
      </c>
      <c r="B155" s="1" t="s">
        <v>368</v>
      </c>
      <c r="C155" s="8">
        <v>45874</v>
      </c>
      <c r="D155" s="1" t="s">
        <v>102</v>
      </c>
      <c r="E155" s="1" t="s">
        <v>103</v>
      </c>
      <c r="F155" s="1" t="s">
        <v>24</v>
      </c>
      <c r="G155" s="1">
        <v>42</v>
      </c>
      <c r="H155" s="1" t="s">
        <v>57</v>
      </c>
      <c r="I155" s="1" t="s">
        <v>74</v>
      </c>
      <c r="J155" s="1" t="s">
        <v>172</v>
      </c>
      <c r="K155" s="14">
        <v>3</v>
      </c>
      <c r="L155" s="1">
        <v>3751</v>
      </c>
      <c r="M155" s="1">
        <v>5</v>
      </c>
      <c r="N155" s="1">
        <f>Table1[[#This Row],[Discount]]/100</f>
        <v>0.05</v>
      </c>
      <c r="O155" s="1">
        <v>562.65</v>
      </c>
      <c r="P155" s="1">
        <v>10690.35</v>
      </c>
      <c r="Q155" s="1">
        <v>59</v>
      </c>
      <c r="R155" s="1">
        <v>10749.35</v>
      </c>
      <c r="S155" s="1" t="s">
        <v>52</v>
      </c>
      <c r="T155" s="1" t="s">
        <v>118</v>
      </c>
      <c r="U155" s="1" t="s">
        <v>30</v>
      </c>
      <c r="V155" s="11">
        <v>7</v>
      </c>
      <c r="W155" s="18">
        <v>3</v>
      </c>
    </row>
    <row r="156" spans="1:23" x14ac:dyDescent="0.25">
      <c r="A156" s="2" t="s">
        <v>369</v>
      </c>
      <c r="B156" s="1" t="s">
        <v>370</v>
      </c>
      <c r="C156" s="8">
        <v>45743</v>
      </c>
      <c r="D156" s="1" t="s">
        <v>120</v>
      </c>
      <c r="E156" s="1" t="s">
        <v>120</v>
      </c>
      <c r="F156" s="1" t="s">
        <v>24</v>
      </c>
      <c r="G156" s="1">
        <v>57</v>
      </c>
      <c r="H156" s="1" t="s">
        <v>57</v>
      </c>
      <c r="I156" s="1" t="s">
        <v>58</v>
      </c>
      <c r="J156" s="1" t="s">
        <v>65</v>
      </c>
      <c r="K156" s="14">
        <v>5</v>
      </c>
      <c r="L156" s="1">
        <v>597</v>
      </c>
      <c r="M156" s="1">
        <v>5</v>
      </c>
      <c r="N156" s="1">
        <f>Table1[[#This Row],[Discount]]/100</f>
        <v>0.05</v>
      </c>
      <c r="O156" s="1">
        <v>149.25</v>
      </c>
      <c r="P156" s="1">
        <v>2835.75</v>
      </c>
      <c r="Q156" s="1">
        <v>110</v>
      </c>
      <c r="R156" s="1">
        <v>2945.75</v>
      </c>
      <c r="S156" s="1" t="s">
        <v>38</v>
      </c>
      <c r="T156" s="1" t="s">
        <v>118</v>
      </c>
      <c r="U156" s="1" t="s">
        <v>40</v>
      </c>
      <c r="V156" s="11">
        <v>6</v>
      </c>
      <c r="W156" s="18"/>
    </row>
    <row r="157" spans="1:23" x14ac:dyDescent="0.25">
      <c r="A157" s="2" t="s">
        <v>371</v>
      </c>
      <c r="B157" s="1" t="s">
        <v>266</v>
      </c>
      <c r="C157" s="8">
        <v>45858</v>
      </c>
      <c r="D157" s="1" t="s">
        <v>43</v>
      </c>
      <c r="E157" s="1" t="s">
        <v>43</v>
      </c>
      <c r="F157" s="1" t="s">
        <v>34</v>
      </c>
      <c r="G157" s="1">
        <v>55</v>
      </c>
      <c r="H157" s="1" t="s">
        <v>69</v>
      </c>
      <c r="I157" s="1" t="s">
        <v>26</v>
      </c>
      <c r="J157" s="1" t="s">
        <v>27</v>
      </c>
      <c r="K157" s="14">
        <v>3</v>
      </c>
      <c r="L157" s="1">
        <v>29898</v>
      </c>
      <c r="M157" s="1">
        <v>20</v>
      </c>
      <c r="N157" s="1">
        <f>Table1[[#This Row],[Discount]]/100</f>
        <v>0.2</v>
      </c>
      <c r="O157" s="1">
        <v>17938.8</v>
      </c>
      <c r="P157" s="1">
        <v>71755.199999999997</v>
      </c>
      <c r="Q157" s="1">
        <v>115</v>
      </c>
      <c r="R157" s="1">
        <v>71870.2</v>
      </c>
      <c r="S157" s="1" t="s">
        <v>28</v>
      </c>
      <c r="T157" s="1" t="s">
        <v>118</v>
      </c>
      <c r="U157" s="1" t="s">
        <v>30</v>
      </c>
      <c r="V157" s="11">
        <v>4</v>
      </c>
      <c r="W157" s="18">
        <v>5</v>
      </c>
    </row>
    <row r="158" spans="1:23" x14ac:dyDescent="0.25">
      <c r="A158" s="2" t="s">
        <v>372</v>
      </c>
      <c r="B158" s="1" t="s">
        <v>197</v>
      </c>
      <c r="C158" s="8">
        <v>45901</v>
      </c>
      <c r="D158" s="1" t="s">
        <v>43</v>
      </c>
      <c r="E158" s="1" t="s">
        <v>43</v>
      </c>
      <c r="F158" s="1" t="s">
        <v>44</v>
      </c>
      <c r="G158" s="1">
        <v>46</v>
      </c>
      <c r="H158" s="1" t="s">
        <v>69</v>
      </c>
      <c r="I158" s="1" t="s">
        <v>88</v>
      </c>
      <c r="J158" s="1" t="s">
        <v>162</v>
      </c>
      <c r="K158" s="14">
        <v>1</v>
      </c>
      <c r="L158" s="1">
        <v>6007</v>
      </c>
      <c r="M158" s="1">
        <v>5</v>
      </c>
      <c r="N158" s="1">
        <f>Table1[[#This Row],[Discount]]/100</f>
        <v>0.05</v>
      </c>
      <c r="O158" s="1">
        <v>300.35000000000002</v>
      </c>
      <c r="P158" s="1">
        <v>5706.65</v>
      </c>
      <c r="Q158" s="1">
        <v>109</v>
      </c>
      <c r="R158" s="1">
        <v>5815.65</v>
      </c>
      <c r="S158" s="1" t="s">
        <v>28</v>
      </c>
      <c r="T158" s="1" t="s">
        <v>118</v>
      </c>
      <c r="U158" s="1" t="s">
        <v>30</v>
      </c>
      <c r="V158" s="11">
        <v>1</v>
      </c>
      <c r="W158" s="18">
        <v>5</v>
      </c>
    </row>
    <row r="159" spans="1:23" x14ac:dyDescent="0.25">
      <c r="A159" s="2" t="s">
        <v>373</v>
      </c>
      <c r="B159" s="1" t="s">
        <v>374</v>
      </c>
      <c r="C159" s="8">
        <v>45739</v>
      </c>
      <c r="D159" s="1" t="s">
        <v>153</v>
      </c>
      <c r="E159" s="1" t="s">
        <v>153</v>
      </c>
      <c r="F159" s="1" t="s">
        <v>44</v>
      </c>
      <c r="G159" s="1">
        <v>53</v>
      </c>
      <c r="H159" s="1" t="s">
        <v>35</v>
      </c>
      <c r="I159" s="1" t="s">
        <v>36</v>
      </c>
      <c r="J159" s="1" t="s">
        <v>177</v>
      </c>
      <c r="K159" s="14">
        <v>1</v>
      </c>
      <c r="L159" s="1">
        <v>6466</v>
      </c>
      <c r="M159" s="1">
        <v>5</v>
      </c>
      <c r="N159" s="1">
        <f>Table1[[#This Row],[Discount]]/100</f>
        <v>0.05</v>
      </c>
      <c r="O159" s="1">
        <v>323.3</v>
      </c>
      <c r="P159" s="1">
        <v>6142.7</v>
      </c>
      <c r="Q159" s="1">
        <v>161</v>
      </c>
      <c r="R159" s="1">
        <v>6303.7</v>
      </c>
      <c r="S159" s="1" t="s">
        <v>93</v>
      </c>
      <c r="T159" s="1" t="s">
        <v>29</v>
      </c>
      <c r="U159" s="1" t="s">
        <v>30</v>
      </c>
      <c r="V159" s="11">
        <v>3</v>
      </c>
      <c r="W159" s="18">
        <v>4</v>
      </c>
    </row>
    <row r="160" spans="1:23" x14ac:dyDescent="0.25">
      <c r="A160" s="2" t="s">
        <v>375</v>
      </c>
      <c r="B160" s="1" t="s">
        <v>376</v>
      </c>
      <c r="C160" s="8">
        <v>45763</v>
      </c>
      <c r="D160" s="1" t="s">
        <v>56</v>
      </c>
      <c r="E160" s="1" t="s">
        <v>56</v>
      </c>
      <c r="F160" s="1" t="s">
        <v>24</v>
      </c>
      <c r="G160" s="1">
        <v>22</v>
      </c>
      <c r="H160" s="1" t="s">
        <v>35</v>
      </c>
      <c r="I160" s="1" t="s">
        <v>74</v>
      </c>
      <c r="J160" s="1" t="s">
        <v>172</v>
      </c>
      <c r="K160" s="14">
        <v>4</v>
      </c>
      <c r="L160" s="1">
        <v>5430</v>
      </c>
      <c r="M160" s="1">
        <v>15</v>
      </c>
      <c r="N160" s="1">
        <f>Table1[[#This Row],[Discount]]/100</f>
        <v>0.15</v>
      </c>
      <c r="O160" s="1">
        <v>3258</v>
      </c>
      <c r="P160" s="1">
        <v>18462</v>
      </c>
      <c r="Q160" s="1">
        <v>74</v>
      </c>
      <c r="R160" s="1">
        <v>18536</v>
      </c>
      <c r="S160" s="1" t="s">
        <v>38</v>
      </c>
      <c r="T160" s="1" t="s">
        <v>118</v>
      </c>
      <c r="U160" s="1" t="s">
        <v>30</v>
      </c>
      <c r="V160" s="11">
        <v>3</v>
      </c>
      <c r="W160" s="18">
        <v>4.5</v>
      </c>
    </row>
    <row r="161" spans="1:23" x14ac:dyDescent="0.25">
      <c r="A161" s="2" t="s">
        <v>377</v>
      </c>
      <c r="B161" s="1" t="s">
        <v>378</v>
      </c>
      <c r="C161" s="8">
        <v>45892</v>
      </c>
      <c r="D161" s="1" t="s">
        <v>33</v>
      </c>
      <c r="E161" s="1" t="s">
        <v>33</v>
      </c>
      <c r="F161" s="1" t="s">
        <v>44</v>
      </c>
      <c r="G161" s="1">
        <v>29</v>
      </c>
      <c r="H161" s="1" t="s">
        <v>25</v>
      </c>
      <c r="I161" s="1" t="s">
        <v>45</v>
      </c>
      <c r="J161" s="1" t="s">
        <v>46</v>
      </c>
      <c r="K161" s="14">
        <v>3</v>
      </c>
      <c r="L161" s="1">
        <v>1671</v>
      </c>
      <c r="M161" s="1">
        <v>20</v>
      </c>
      <c r="N161" s="1">
        <f>Table1[[#This Row],[Discount]]/100</f>
        <v>0.2</v>
      </c>
      <c r="O161" s="1">
        <v>1002.6</v>
      </c>
      <c r="P161" s="1">
        <v>4010.4</v>
      </c>
      <c r="Q161" s="1">
        <v>110</v>
      </c>
      <c r="R161" s="1">
        <v>4120.3999999999996</v>
      </c>
      <c r="S161" s="1" t="s">
        <v>52</v>
      </c>
      <c r="T161" s="1" t="s">
        <v>39</v>
      </c>
      <c r="U161" s="1" t="s">
        <v>30</v>
      </c>
      <c r="V161" s="11">
        <v>5</v>
      </c>
      <c r="W161" s="18">
        <v>5</v>
      </c>
    </row>
    <row r="162" spans="1:23" x14ac:dyDescent="0.25">
      <c r="A162" s="2" t="s">
        <v>379</v>
      </c>
      <c r="B162" s="1" t="s">
        <v>380</v>
      </c>
      <c r="C162" s="8">
        <v>45963</v>
      </c>
      <c r="D162" s="1" t="s">
        <v>23</v>
      </c>
      <c r="E162" s="1" t="s">
        <v>23</v>
      </c>
      <c r="F162" s="1" t="s">
        <v>34</v>
      </c>
      <c r="G162" s="1">
        <v>54</v>
      </c>
      <c r="H162" s="1" t="s">
        <v>57</v>
      </c>
      <c r="I162" s="1" t="s">
        <v>74</v>
      </c>
      <c r="J162" s="1" t="s">
        <v>97</v>
      </c>
      <c r="K162" s="14">
        <v>1</v>
      </c>
      <c r="L162" s="1">
        <v>2901</v>
      </c>
      <c r="M162" s="1">
        <v>5</v>
      </c>
      <c r="N162" s="1">
        <f>Table1[[#This Row],[Discount]]/100</f>
        <v>0.05</v>
      </c>
      <c r="O162" s="1">
        <v>145.05000000000001</v>
      </c>
      <c r="P162" s="1">
        <v>2755.95</v>
      </c>
      <c r="Q162" s="1">
        <v>127</v>
      </c>
      <c r="R162" s="1">
        <v>2882.95</v>
      </c>
      <c r="S162" s="1" t="s">
        <v>66</v>
      </c>
      <c r="T162" s="1" t="s">
        <v>29</v>
      </c>
      <c r="U162" s="1" t="s">
        <v>30</v>
      </c>
      <c r="V162" s="11">
        <v>2</v>
      </c>
      <c r="W162" s="18">
        <v>4</v>
      </c>
    </row>
    <row r="163" spans="1:23" x14ac:dyDescent="0.25">
      <c r="A163" s="2" t="s">
        <v>381</v>
      </c>
      <c r="B163" s="1" t="s">
        <v>91</v>
      </c>
      <c r="C163" s="8">
        <v>45841</v>
      </c>
      <c r="D163" s="1" t="s">
        <v>102</v>
      </c>
      <c r="E163" s="1" t="s">
        <v>103</v>
      </c>
      <c r="F163" s="1" t="s">
        <v>44</v>
      </c>
      <c r="G163" s="1">
        <v>49</v>
      </c>
      <c r="H163" s="1" t="s">
        <v>25</v>
      </c>
      <c r="I163" s="1" t="s">
        <v>36</v>
      </c>
      <c r="J163" s="1" t="s">
        <v>159</v>
      </c>
      <c r="K163" s="14">
        <v>5</v>
      </c>
      <c r="L163" s="1">
        <v>2977</v>
      </c>
      <c r="M163" s="1">
        <v>15</v>
      </c>
      <c r="N163" s="1">
        <f>Table1[[#This Row],[Discount]]/100</f>
        <v>0.15</v>
      </c>
      <c r="O163" s="1">
        <v>2232.75</v>
      </c>
      <c r="P163" s="1">
        <v>12652.25</v>
      </c>
      <c r="Q163" s="1">
        <v>241</v>
      </c>
      <c r="R163" s="1">
        <v>12893.25</v>
      </c>
      <c r="S163" s="1" t="s">
        <v>52</v>
      </c>
      <c r="T163" s="1" t="s">
        <v>29</v>
      </c>
      <c r="U163" s="1" t="s">
        <v>30</v>
      </c>
      <c r="V163" s="11">
        <v>1</v>
      </c>
      <c r="W163" s="18">
        <v>3.5</v>
      </c>
    </row>
    <row r="164" spans="1:23" x14ac:dyDescent="0.25">
      <c r="A164" s="2" t="s">
        <v>382</v>
      </c>
      <c r="B164" s="1" t="s">
        <v>383</v>
      </c>
      <c r="C164" s="8">
        <v>45773</v>
      </c>
      <c r="D164" s="1" t="s">
        <v>78</v>
      </c>
      <c r="E164" s="1" t="s">
        <v>78</v>
      </c>
      <c r="F164" s="1" t="s">
        <v>44</v>
      </c>
      <c r="G164" s="1">
        <v>36</v>
      </c>
      <c r="H164" s="1" t="s">
        <v>25</v>
      </c>
      <c r="I164" s="1" t="s">
        <v>45</v>
      </c>
      <c r="J164" s="1" t="s">
        <v>146</v>
      </c>
      <c r="K164" s="14">
        <v>4</v>
      </c>
      <c r="L164" s="1">
        <v>418</v>
      </c>
      <c r="M164" s="1">
        <v>5</v>
      </c>
      <c r="N164" s="1">
        <f>Table1[[#This Row],[Discount]]/100</f>
        <v>0.05</v>
      </c>
      <c r="O164" s="1">
        <v>83.6</v>
      </c>
      <c r="P164" s="1">
        <v>1588.4</v>
      </c>
      <c r="Q164" s="1">
        <v>90</v>
      </c>
      <c r="R164" s="1">
        <v>1678.4</v>
      </c>
      <c r="S164" s="1" t="s">
        <v>66</v>
      </c>
      <c r="T164" s="1" t="s">
        <v>118</v>
      </c>
      <c r="U164" s="1" t="s">
        <v>30</v>
      </c>
      <c r="V164" s="11">
        <v>5</v>
      </c>
      <c r="W164" s="18">
        <v>3.5</v>
      </c>
    </row>
    <row r="165" spans="1:23" x14ac:dyDescent="0.25">
      <c r="A165" s="2" t="s">
        <v>384</v>
      </c>
      <c r="B165" s="1" t="s">
        <v>376</v>
      </c>
      <c r="C165" s="8">
        <v>45937</v>
      </c>
      <c r="D165" s="1" t="s">
        <v>120</v>
      </c>
      <c r="E165" s="1" t="s">
        <v>120</v>
      </c>
      <c r="F165" s="1" t="s">
        <v>24</v>
      </c>
      <c r="G165" s="1">
        <v>45</v>
      </c>
      <c r="H165" s="1" t="s">
        <v>35</v>
      </c>
      <c r="I165" s="1" t="s">
        <v>58</v>
      </c>
      <c r="J165" s="1" t="s">
        <v>104</v>
      </c>
      <c r="K165" s="14">
        <v>5</v>
      </c>
      <c r="L165" s="1">
        <v>2370</v>
      </c>
      <c r="M165" s="1">
        <v>0</v>
      </c>
      <c r="N165" s="1">
        <f>Table1[[#This Row],[Discount]]/100</f>
        <v>0</v>
      </c>
      <c r="O165" s="1">
        <v>0</v>
      </c>
      <c r="P165" s="1">
        <v>11850</v>
      </c>
      <c r="Q165" s="1">
        <v>132</v>
      </c>
      <c r="R165" s="1">
        <v>11982</v>
      </c>
      <c r="S165" s="1" t="s">
        <v>38</v>
      </c>
      <c r="T165" s="1" t="s">
        <v>39</v>
      </c>
      <c r="U165" s="1" t="s">
        <v>53</v>
      </c>
      <c r="W165" s="18"/>
    </row>
    <row r="166" spans="1:23" x14ac:dyDescent="0.25">
      <c r="A166" s="2" t="s">
        <v>385</v>
      </c>
      <c r="B166" s="1" t="s">
        <v>61</v>
      </c>
      <c r="C166" s="8">
        <v>46021</v>
      </c>
      <c r="D166" s="1" t="s">
        <v>78</v>
      </c>
      <c r="E166" s="1" t="s">
        <v>78</v>
      </c>
      <c r="F166" s="1" t="s">
        <v>34</v>
      </c>
      <c r="G166" s="1">
        <v>58</v>
      </c>
      <c r="H166" s="1" t="s">
        <v>25</v>
      </c>
      <c r="I166" s="1" t="s">
        <v>88</v>
      </c>
      <c r="J166" s="1" t="s">
        <v>207</v>
      </c>
      <c r="K166" s="14">
        <v>1</v>
      </c>
      <c r="L166" s="1">
        <v>4182</v>
      </c>
      <c r="M166" s="1">
        <v>20</v>
      </c>
      <c r="N166" s="1">
        <f>Table1[[#This Row],[Discount]]/100</f>
        <v>0.2</v>
      </c>
      <c r="O166" s="1">
        <v>836.4</v>
      </c>
      <c r="P166" s="1">
        <v>3345.6</v>
      </c>
      <c r="Q166" s="1">
        <v>240</v>
      </c>
      <c r="R166" s="1">
        <v>3585.6</v>
      </c>
      <c r="S166" s="1" t="s">
        <v>47</v>
      </c>
      <c r="T166" s="1" t="s">
        <v>39</v>
      </c>
      <c r="U166" s="1" t="s">
        <v>40</v>
      </c>
      <c r="V166" s="11">
        <v>5</v>
      </c>
      <c r="W166" s="18"/>
    </row>
    <row r="167" spans="1:23" x14ac:dyDescent="0.25">
      <c r="A167" s="2" t="s">
        <v>386</v>
      </c>
      <c r="B167" s="1" t="s">
        <v>248</v>
      </c>
      <c r="C167" s="8">
        <v>45794</v>
      </c>
      <c r="D167" s="1" t="s">
        <v>87</v>
      </c>
      <c r="E167" s="1" t="s">
        <v>87</v>
      </c>
      <c r="F167" s="1" t="s">
        <v>34</v>
      </c>
      <c r="G167" s="1">
        <v>50</v>
      </c>
      <c r="H167" s="1" t="s">
        <v>35</v>
      </c>
      <c r="I167" s="1" t="s">
        <v>74</v>
      </c>
      <c r="J167" s="1" t="s">
        <v>137</v>
      </c>
      <c r="K167" s="14">
        <v>5</v>
      </c>
      <c r="L167" s="1">
        <v>4760</v>
      </c>
      <c r="M167" s="1">
        <v>25</v>
      </c>
      <c r="N167" s="1">
        <f>Table1[[#This Row],[Discount]]/100</f>
        <v>0.25</v>
      </c>
      <c r="O167" s="1">
        <v>5950</v>
      </c>
      <c r="P167" s="1">
        <v>17850</v>
      </c>
      <c r="Q167" s="1">
        <v>166</v>
      </c>
      <c r="R167" s="1">
        <v>18016</v>
      </c>
      <c r="S167" s="1" t="s">
        <v>93</v>
      </c>
      <c r="T167" s="1" t="s">
        <v>39</v>
      </c>
      <c r="U167" s="1" t="s">
        <v>30</v>
      </c>
      <c r="V167" s="11">
        <v>7</v>
      </c>
      <c r="W167" s="18">
        <v>5</v>
      </c>
    </row>
    <row r="168" spans="1:23" x14ac:dyDescent="0.25">
      <c r="A168" s="2" t="s">
        <v>387</v>
      </c>
      <c r="B168" s="1" t="s">
        <v>388</v>
      </c>
      <c r="C168" s="8">
        <v>45953</v>
      </c>
      <c r="D168" s="1" t="s">
        <v>110</v>
      </c>
      <c r="E168" s="1" t="s">
        <v>110</v>
      </c>
      <c r="F168" s="1" t="s">
        <v>44</v>
      </c>
      <c r="G168" s="1">
        <v>35</v>
      </c>
      <c r="H168" s="1" t="s">
        <v>57</v>
      </c>
      <c r="I168" s="1" t="s">
        <v>36</v>
      </c>
      <c r="J168" s="1" t="s">
        <v>159</v>
      </c>
      <c r="K168" s="14">
        <v>2</v>
      </c>
      <c r="L168" s="1">
        <v>7310</v>
      </c>
      <c r="M168" s="1">
        <v>25</v>
      </c>
      <c r="N168" s="1">
        <f>Table1[[#This Row],[Discount]]/100</f>
        <v>0.25</v>
      </c>
      <c r="O168" s="1">
        <v>3655</v>
      </c>
      <c r="P168" s="1">
        <v>10965</v>
      </c>
      <c r="Q168" s="1">
        <v>56</v>
      </c>
      <c r="R168" s="1">
        <v>11021</v>
      </c>
      <c r="S168" s="1" t="s">
        <v>28</v>
      </c>
      <c r="T168" s="1" t="s">
        <v>29</v>
      </c>
      <c r="U168" s="1" t="s">
        <v>30</v>
      </c>
      <c r="V168" s="11">
        <v>6</v>
      </c>
      <c r="W168" s="18">
        <v>5</v>
      </c>
    </row>
    <row r="169" spans="1:23" x14ac:dyDescent="0.25">
      <c r="A169" s="2" t="s">
        <v>389</v>
      </c>
      <c r="B169" s="1" t="s">
        <v>250</v>
      </c>
      <c r="C169" s="8">
        <v>45705</v>
      </c>
      <c r="D169" s="1" t="s">
        <v>140</v>
      </c>
      <c r="E169" s="1" t="s">
        <v>141</v>
      </c>
      <c r="F169" s="1" t="s">
        <v>24</v>
      </c>
      <c r="G169" s="1">
        <v>47</v>
      </c>
      <c r="H169" s="1" t="s">
        <v>69</v>
      </c>
      <c r="I169" s="1" t="s">
        <v>26</v>
      </c>
      <c r="J169" s="1" t="s">
        <v>283</v>
      </c>
      <c r="K169" s="14">
        <v>5</v>
      </c>
      <c r="L169" s="1">
        <v>37267</v>
      </c>
      <c r="M169" s="1">
        <v>0</v>
      </c>
      <c r="N169" s="1">
        <f>Table1[[#This Row],[Discount]]/100</f>
        <v>0</v>
      </c>
      <c r="O169" s="1">
        <v>0</v>
      </c>
      <c r="P169" s="1">
        <v>186335</v>
      </c>
      <c r="Q169" s="1">
        <v>236</v>
      </c>
      <c r="R169" s="1">
        <v>186571</v>
      </c>
      <c r="S169" s="1" t="s">
        <v>28</v>
      </c>
      <c r="T169" s="1" t="s">
        <v>29</v>
      </c>
      <c r="U169" s="1" t="s">
        <v>80</v>
      </c>
      <c r="W169" s="18"/>
    </row>
    <row r="170" spans="1:23" x14ac:dyDescent="0.25">
      <c r="A170" s="2" t="s">
        <v>390</v>
      </c>
      <c r="B170" s="1" t="s">
        <v>268</v>
      </c>
      <c r="C170" s="8">
        <v>45906</v>
      </c>
      <c r="D170" s="1" t="s">
        <v>96</v>
      </c>
      <c r="E170" s="1" t="s">
        <v>96</v>
      </c>
      <c r="F170" s="1" t="s">
        <v>34</v>
      </c>
      <c r="G170" s="1">
        <v>39</v>
      </c>
      <c r="H170" s="1" t="s">
        <v>50</v>
      </c>
      <c r="I170" s="1" t="s">
        <v>74</v>
      </c>
      <c r="J170" s="1" t="s">
        <v>172</v>
      </c>
      <c r="K170" s="14">
        <v>2</v>
      </c>
      <c r="L170" s="1">
        <v>2599</v>
      </c>
      <c r="M170" s="1">
        <v>20</v>
      </c>
      <c r="N170" s="1">
        <f>Table1[[#This Row],[Discount]]/100</f>
        <v>0.2</v>
      </c>
      <c r="O170" s="1">
        <v>1039.5999999999999</v>
      </c>
      <c r="P170" s="1">
        <v>4158.3999999999996</v>
      </c>
      <c r="Q170" s="1">
        <v>238</v>
      </c>
      <c r="R170" s="1">
        <v>4396.3999999999996</v>
      </c>
      <c r="S170" s="1" t="s">
        <v>28</v>
      </c>
      <c r="T170" s="1" t="s">
        <v>29</v>
      </c>
      <c r="U170" s="1" t="s">
        <v>30</v>
      </c>
      <c r="V170" s="11">
        <v>7</v>
      </c>
      <c r="W170" s="18">
        <v>5</v>
      </c>
    </row>
    <row r="171" spans="1:23" x14ac:dyDescent="0.25">
      <c r="A171" s="2" t="s">
        <v>391</v>
      </c>
      <c r="B171" s="1" t="s">
        <v>275</v>
      </c>
      <c r="C171" s="8">
        <v>45990</v>
      </c>
      <c r="D171" s="1" t="s">
        <v>140</v>
      </c>
      <c r="E171" s="1" t="s">
        <v>141</v>
      </c>
      <c r="F171" s="1" t="s">
        <v>44</v>
      </c>
      <c r="G171" s="1">
        <v>28</v>
      </c>
      <c r="H171" s="1" t="s">
        <v>50</v>
      </c>
      <c r="I171" s="1" t="s">
        <v>45</v>
      </c>
      <c r="J171" s="1" t="s">
        <v>46</v>
      </c>
      <c r="K171" s="14">
        <v>1</v>
      </c>
      <c r="L171" s="1">
        <v>82</v>
      </c>
      <c r="M171" s="1">
        <v>25</v>
      </c>
      <c r="N171" s="1">
        <f>Table1[[#This Row],[Discount]]/100</f>
        <v>0.25</v>
      </c>
      <c r="O171" s="1">
        <v>20.5</v>
      </c>
      <c r="P171" s="1">
        <v>61.5</v>
      </c>
      <c r="Q171" s="1">
        <v>245</v>
      </c>
      <c r="R171" s="1">
        <v>306.5</v>
      </c>
      <c r="S171" s="1" t="s">
        <v>66</v>
      </c>
      <c r="T171" s="1" t="s">
        <v>118</v>
      </c>
      <c r="U171" s="1" t="s">
        <v>80</v>
      </c>
      <c r="W171" s="18"/>
    </row>
    <row r="172" spans="1:23" x14ac:dyDescent="0.25">
      <c r="A172" s="2" t="s">
        <v>392</v>
      </c>
      <c r="B172" s="1" t="s">
        <v>226</v>
      </c>
      <c r="C172" s="8">
        <v>45767</v>
      </c>
      <c r="D172" s="1" t="s">
        <v>110</v>
      </c>
      <c r="E172" s="1" t="s">
        <v>110</v>
      </c>
      <c r="F172" s="1" t="s">
        <v>24</v>
      </c>
      <c r="G172" s="1">
        <v>22</v>
      </c>
      <c r="H172" s="1" t="s">
        <v>35</v>
      </c>
      <c r="I172" s="1" t="s">
        <v>26</v>
      </c>
      <c r="J172" s="1" t="s">
        <v>198</v>
      </c>
      <c r="K172" s="14">
        <v>2</v>
      </c>
      <c r="L172" s="1">
        <v>7587</v>
      </c>
      <c r="M172" s="1">
        <v>0</v>
      </c>
      <c r="N172" s="1">
        <f>Table1[[#This Row],[Discount]]/100</f>
        <v>0</v>
      </c>
      <c r="O172" s="1">
        <v>0</v>
      </c>
      <c r="P172" s="1">
        <v>15174</v>
      </c>
      <c r="Q172" s="1">
        <v>20</v>
      </c>
      <c r="R172" s="1">
        <v>15194</v>
      </c>
      <c r="S172" s="1" t="s">
        <v>52</v>
      </c>
      <c r="T172" s="1" t="s">
        <v>29</v>
      </c>
      <c r="U172" s="1" t="s">
        <v>40</v>
      </c>
      <c r="V172" s="11">
        <v>4</v>
      </c>
      <c r="W172" s="18"/>
    </row>
    <row r="173" spans="1:23" x14ac:dyDescent="0.25">
      <c r="A173" s="2" t="s">
        <v>393</v>
      </c>
      <c r="B173" s="1" t="s">
        <v>394</v>
      </c>
      <c r="C173" s="8">
        <v>45710</v>
      </c>
      <c r="D173" s="1" t="s">
        <v>78</v>
      </c>
      <c r="E173" s="1" t="s">
        <v>78</v>
      </c>
      <c r="F173" s="1" t="s">
        <v>44</v>
      </c>
      <c r="G173" s="1">
        <v>38</v>
      </c>
      <c r="H173" s="1" t="s">
        <v>35</v>
      </c>
      <c r="I173" s="1" t="s">
        <v>26</v>
      </c>
      <c r="J173" s="1" t="s">
        <v>27</v>
      </c>
      <c r="K173" s="14">
        <v>3</v>
      </c>
      <c r="L173" s="1">
        <v>16606</v>
      </c>
      <c r="M173" s="1">
        <v>15</v>
      </c>
      <c r="N173" s="1">
        <f>Table1[[#This Row],[Discount]]/100</f>
        <v>0.15</v>
      </c>
      <c r="O173" s="1">
        <v>7472.7</v>
      </c>
      <c r="P173" s="1">
        <v>42345.3</v>
      </c>
      <c r="Q173" s="1">
        <v>226</v>
      </c>
      <c r="R173" s="1">
        <v>42571.3</v>
      </c>
      <c r="S173" s="1" t="s">
        <v>93</v>
      </c>
      <c r="T173" s="1" t="s">
        <v>39</v>
      </c>
      <c r="U173" s="1" t="s">
        <v>30</v>
      </c>
      <c r="V173" s="11">
        <v>1</v>
      </c>
      <c r="W173" s="18">
        <v>4</v>
      </c>
    </row>
    <row r="174" spans="1:23" x14ac:dyDescent="0.25">
      <c r="A174" s="2" t="s">
        <v>395</v>
      </c>
      <c r="B174" s="1" t="s">
        <v>396</v>
      </c>
      <c r="C174" s="8">
        <v>45735</v>
      </c>
      <c r="D174" s="1" t="s">
        <v>23</v>
      </c>
      <c r="E174" s="1" t="s">
        <v>23</v>
      </c>
      <c r="F174" s="1" t="s">
        <v>34</v>
      </c>
      <c r="G174" s="1">
        <v>57</v>
      </c>
      <c r="H174" s="1" t="s">
        <v>50</v>
      </c>
      <c r="I174" s="1" t="s">
        <v>36</v>
      </c>
      <c r="J174" s="1" t="s">
        <v>159</v>
      </c>
      <c r="K174" s="14">
        <v>1</v>
      </c>
      <c r="L174" s="1">
        <v>3276</v>
      </c>
      <c r="M174" s="1">
        <v>25</v>
      </c>
      <c r="N174" s="1">
        <f>Table1[[#This Row],[Discount]]/100</f>
        <v>0.25</v>
      </c>
      <c r="O174" s="1">
        <v>819</v>
      </c>
      <c r="P174" s="1">
        <v>2457</v>
      </c>
      <c r="Q174" s="1">
        <v>211</v>
      </c>
      <c r="R174" s="1">
        <v>2668</v>
      </c>
      <c r="S174" s="1" t="s">
        <v>28</v>
      </c>
      <c r="T174" s="1" t="s">
        <v>39</v>
      </c>
      <c r="U174" s="1" t="s">
        <v>30</v>
      </c>
      <c r="V174" s="11">
        <v>4</v>
      </c>
      <c r="W174" s="18">
        <v>5</v>
      </c>
    </row>
    <row r="175" spans="1:23" x14ac:dyDescent="0.25">
      <c r="A175" s="2" t="s">
        <v>397</v>
      </c>
      <c r="B175" s="1" t="s">
        <v>383</v>
      </c>
      <c r="C175" s="8">
        <v>45965</v>
      </c>
      <c r="D175" s="1" t="s">
        <v>140</v>
      </c>
      <c r="E175" s="1" t="s">
        <v>141</v>
      </c>
      <c r="F175" s="1" t="s">
        <v>24</v>
      </c>
      <c r="G175" s="1">
        <v>56</v>
      </c>
      <c r="H175" s="1" t="s">
        <v>50</v>
      </c>
      <c r="I175" s="1" t="s">
        <v>26</v>
      </c>
      <c r="J175" s="1" t="s">
        <v>79</v>
      </c>
      <c r="K175" s="14">
        <v>4</v>
      </c>
      <c r="L175" s="1">
        <v>46876</v>
      </c>
      <c r="M175" s="1">
        <v>25</v>
      </c>
      <c r="N175" s="1">
        <f>Table1[[#This Row],[Discount]]/100</f>
        <v>0.25</v>
      </c>
      <c r="O175" s="1">
        <v>46876</v>
      </c>
      <c r="P175" s="1">
        <v>140628</v>
      </c>
      <c r="Q175" s="1">
        <v>161</v>
      </c>
      <c r="R175" s="1">
        <v>140789</v>
      </c>
      <c r="S175" s="1" t="s">
        <v>66</v>
      </c>
      <c r="T175" s="1" t="s">
        <v>118</v>
      </c>
      <c r="U175" s="1" t="s">
        <v>30</v>
      </c>
      <c r="V175" s="11">
        <v>5</v>
      </c>
      <c r="W175" s="18">
        <v>4</v>
      </c>
    </row>
    <row r="176" spans="1:23" x14ac:dyDescent="0.25">
      <c r="A176" s="2" t="s">
        <v>398</v>
      </c>
      <c r="B176" s="1" t="s">
        <v>399</v>
      </c>
      <c r="C176" s="8">
        <v>45781</v>
      </c>
      <c r="D176" s="1" t="s">
        <v>33</v>
      </c>
      <c r="E176" s="1" t="s">
        <v>33</v>
      </c>
      <c r="F176" s="1" t="s">
        <v>24</v>
      </c>
      <c r="G176" s="1">
        <v>58</v>
      </c>
      <c r="H176" s="1" t="s">
        <v>50</v>
      </c>
      <c r="I176" s="1" t="s">
        <v>58</v>
      </c>
      <c r="J176" s="1" t="s">
        <v>114</v>
      </c>
      <c r="K176" s="14">
        <v>5</v>
      </c>
      <c r="L176" s="1">
        <v>3360</v>
      </c>
      <c r="M176" s="1">
        <v>5</v>
      </c>
      <c r="N176" s="1">
        <f>Table1[[#This Row],[Discount]]/100</f>
        <v>0.05</v>
      </c>
      <c r="O176" s="1">
        <v>840</v>
      </c>
      <c r="P176" s="1">
        <v>15960</v>
      </c>
      <c r="Q176" s="1">
        <v>48</v>
      </c>
      <c r="R176" s="1">
        <v>16008</v>
      </c>
      <c r="S176" s="1" t="s">
        <v>38</v>
      </c>
      <c r="T176" s="1" t="s">
        <v>118</v>
      </c>
      <c r="U176" s="1" t="s">
        <v>30</v>
      </c>
      <c r="V176" s="11">
        <v>4</v>
      </c>
      <c r="W176" s="18">
        <v>4.5</v>
      </c>
    </row>
    <row r="177" spans="1:23" x14ac:dyDescent="0.25">
      <c r="A177" s="2" t="s">
        <v>400</v>
      </c>
      <c r="B177" s="1" t="s">
        <v>401</v>
      </c>
      <c r="C177" s="8">
        <v>45792</v>
      </c>
      <c r="D177" s="1" t="s">
        <v>56</v>
      </c>
      <c r="E177" s="1" t="s">
        <v>56</v>
      </c>
      <c r="F177" s="1" t="s">
        <v>44</v>
      </c>
      <c r="G177" s="1">
        <v>20</v>
      </c>
      <c r="H177" s="1" t="s">
        <v>25</v>
      </c>
      <c r="I177" s="1" t="s">
        <v>45</v>
      </c>
      <c r="J177" s="1" t="s">
        <v>84</v>
      </c>
      <c r="K177" s="14">
        <v>4</v>
      </c>
      <c r="L177" s="1">
        <v>2009</v>
      </c>
      <c r="M177" s="1">
        <v>0</v>
      </c>
      <c r="N177" s="1">
        <f>Table1[[#This Row],[Discount]]/100</f>
        <v>0</v>
      </c>
      <c r="O177" s="1">
        <v>0</v>
      </c>
      <c r="P177" s="1">
        <v>8036</v>
      </c>
      <c r="Q177" s="1">
        <v>23</v>
      </c>
      <c r="R177" s="1">
        <v>8059</v>
      </c>
      <c r="S177" s="1" t="s">
        <v>38</v>
      </c>
      <c r="T177" s="1" t="s">
        <v>29</v>
      </c>
      <c r="U177" s="1" t="s">
        <v>30</v>
      </c>
      <c r="V177" s="11">
        <v>2</v>
      </c>
      <c r="W177" s="18">
        <v>3</v>
      </c>
    </row>
    <row r="178" spans="1:23" x14ac:dyDescent="0.25">
      <c r="A178" s="2" t="s">
        <v>402</v>
      </c>
      <c r="B178" s="1" t="s">
        <v>403</v>
      </c>
      <c r="C178" s="8">
        <v>45919</v>
      </c>
      <c r="D178" s="1" t="s">
        <v>102</v>
      </c>
      <c r="E178" s="1" t="s">
        <v>103</v>
      </c>
      <c r="F178" s="1" t="s">
        <v>44</v>
      </c>
      <c r="G178" s="1">
        <v>27</v>
      </c>
      <c r="H178" s="1" t="s">
        <v>25</v>
      </c>
      <c r="I178" s="1" t="s">
        <v>58</v>
      </c>
      <c r="J178" s="1" t="s">
        <v>65</v>
      </c>
      <c r="K178" s="14">
        <v>4</v>
      </c>
      <c r="L178" s="1">
        <v>2673</v>
      </c>
      <c r="M178" s="1">
        <v>10</v>
      </c>
      <c r="N178" s="1">
        <f>Table1[[#This Row],[Discount]]/100</f>
        <v>0.1</v>
      </c>
      <c r="O178" s="1">
        <v>1069.2</v>
      </c>
      <c r="P178" s="1">
        <v>9622.7999999999993</v>
      </c>
      <c r="Q178" s="1">
        <v>40</v>
      </c>
      <c r="R178" s="1">
        <v>9662.7999999999993</v>
      </c>
      <c r="S178" s="1" t="s">
        <v>66</v>
      </c>
      <c r="T178" s="1" t="s">
        <v>29</v>
      </c>
      <c r="U178" s="1" t="s">
        <v>30</v>
      </c>
      <c r="V178" s="11">
        <v>2</v>
      </c>
      <c r="W178" s="18">
        <v>4.5</v>
      </c>
    </row>
    <row r="179" spans="1:23" x14ac:dyDescent="0.25">
      <c r="A179" s="2" t="s">
        <v>404</v>
      </c>
      <c r="B179" s="1" t="s">
        <v>116</v>
      </c>
      <c r="C179" s="8">
        <v>45969</v>
      </c>
      <c r="D179" s="1" t="s">
        <v>23</v>
      </c>
      <c r="E179" s="1" t="s">
        <v>23</v>
      </c>
      <c r="F179" s="1" t="s">
        <v>24</v>
      </c>
      <c r="G179" s="1">
        <v>37</v>
      </c>
      <c r="H179" s="1" t="s">
        <v>35</v>
      </c>
      <c r="I179" s="1" t="s">
        <v>36</v>
      </c>
      <c r="J179" s="1" t="s">
        <v>177</v>
      </c>
      <c r="K179" s="14">
        <v>3</v>
      </c>
      <c r="L179" s="1">
        <v>7974</v>
      </c>
      <c r="M179" s="1">
        <v>15</v>
      </c>
      <c r="N179" s="1">
        <f>Table1[[#This Row],[Discount]]/100</f>
        <v>0.15</v>
      </c>
      <c r="O179" s="1">
        <v>3588.3</v>
      </c>
      <c r="P179" s="1">
        <v>20333.7</v>
      </c>
      <c r="Q179" s="1">
        <v>176</v>
      </c>
      <c r="R179" s="1">
        <v>20509.7</v>
      </c>
      <c r="S179" s="1" t="s">
        <v>28</v>
      </c>
      <c r="T179" s="1" t="s">
        <v>39</v>
      </c>
      <c r="U179" s="1" t="s">
        <v>30</v>
      </c>
      <c r="V179" s="11">
        <v>1</v>
      </c>
      <c r="W179" s="18">
        <v>5</v>
      </c>
    </row>
    <row r="180" spans="1:23" x14ac:dyDescent="0.25">
      <c r="A180" s="2" t="s">
        <v>405</v>
      </c>
      <c r="B180" s="1" t="s">
        <v>262</v>
      </c>
      <c r="C180" s="8">
        <v>45722</v>
      </c>
      <c r="D180" s="1" t="s">
        <v>102</v>
      </c>
      <c r="E180" s="1" t="s">
        <v>103</v>
      </c>
      <c r="F180" s="1" t="s">
        <v>34</v>
      </c>
      <c r="G180" s="1">
        <v>35</v>
      </c>
      <c r="H180" s="1" t="s">
        <v>50</v>
      </c>
      <c r="I180" s="1" t="s">
        <v>74</v>
      </c>
      <c r="J180" s="1" t="s">
        <v>137</v>
      </c>
      <c r="K180" s="14">
        <v>2</v>
      </c>
      <c r="L180" s="1">
        <v>3240</v>
      </c>
      <c r="M180" s="1">
        <v>25</v>
      </c>
      <c r="N180" s="1">
        <f>Table1[[#This Row],[Discount]]/100</f>
        <v>0.25</v>
      </c>
      <c r="O180" s="1">
        <v>1620</v>
      </c>
      <c r="P180" s="1">
        <v>4860</v>
      </c>
      <c r="Q180" s="1">
        <v>115</v>
      </c>
      <c r="R180" s="1">
        <v>4975</v>
      </c>
      <c r="S180" s="1" t="s">
        <v>38</v>
      </c>
      <c r="T180" s="1" t="s">
        <v>118</v>
      </c>
      <c r="U180" s="1" t="s">
        <v>30</v>
      </c>
      <c r="V180" s="11">
        <v>6</v>
      </c>
      <c r="W180" s="18">
        <v>5</v>
      </c>
    </row>
    <row r="181" spans="1:23" x14ac:dyDescent="0.25">
      <c r="A181" s="2" t="s">
        <v>406</v>
      </c>
      <c r="B181" s="1" t="s">
        <v>195</v>
      </c>
      <c r="C181" s="8">
        <v>45846</v>
      </c>
      <c r="D181" s="1" t="s">
        <v>110</v>
      </c>
      <c r="E181" s="1" t="s">
        <v>110</v>
      </c>
      <c r="F181" s="1" t="s">
        <v>34</v>
      </c>
      <c r="G181" s="1">
        <v>34</v>
      </c>
      <c r="H181" s="1" t="s">
        <v>25</v>
      </c>
      <c r="I181" s="1" t="s">
        <v>58</v>
      </c>
      <c r="J181" s="1" t="s">
        <v>104</v>
      </c>
      <c r="K181" s="14">
        <v>3</v>
      </c>
      <c r="L181" s="1">
        <v>1625</v>
      </c>
      <c r="M181" s="1">
        <v>15</v>
      </c>
      <c r="N181" s="1">
        <f>Table1[[#This Row],[Discount]]/100</f>
        <v>0.15</v>
      </c>
      <c r="O181" s="1">
        <v>731.25</v>
      </c>
      <c r="P181" s="1">
        <v>4143.75</v>
      </c>
      <c r="Q181" s="1">
        <v>62</v>
      </c>
      <c r="R181" s="1">
        <v>4205.75</v>
      </c>
      <c r="S181" s="1" t="s">
        <v>66</v>
      </c>
      <c r="T181" s="1" t="s">
        <v>29</v>
      </c>
      <c r="U181" s="1" t="s">
        <v>53</v>
      </c>
      <c r="W181" s="18"/>
    </row>
    <row r="182" spans="1:23" x14ac:dyDescent="0.25">
      <c r="A182" s="2" t="s">
        <v>407</v>
      </c>
      <c r="B182" s="1" t="s">
        <v>408</v>
      </c>
      <c r="C182" s="8">
        <v>45676</v>
      </c>
      <c r="D182" s="1" t="s">
        <v>43</v>
      </c>
      <c r="E182" s="1" t="s">
        <v>43</v>
      </c>
      <c r="F182" s="1" t="s">
        <v>34</v>
      </c>
      <c r="G182" s="1">
        <v>59</v>
      </c>
      <c r="H182" s="1" t="s">
        <v>69</v>
      </c>
      <c r="I182" s="1" t="s">
        <v>74</v>
      </c>
      <c r="J182" s="1" t="s">
        <v>409</v>
      </c>
      <c r="K182" s="14">
        <v>1</v>
      </c>
      <c r="L182" s="1">
        <v>500</v>
      </c>
      <c r="M182" s="1">
        <v>15</v>
      </c>
      <c r="N182" s="1">
        <f>Table1[[#This Row],[Discount]]/100</f>
        <v>0.15</v>
      </c>
      <c r="O182" s="1">
        <v>75</v>
      </c>
      <c r="P182" s="1">
        <v>425</v>
      </c>
      <c r="Q182" s="1">
        <v>65</v>
      </c>
      <c r="R182" s="1">
        <v>490</v>
      </c>
      <c r="S182" s="1" t="s">
        <v>47</v>
      </c>
      <c r="T182" s="1" t="s">
        <v>118</v>
      </c>
      <c r="U182" s="1" t="s">
        <v>80</v>
      </c>
      <c r="W182" s="18"/>
    </row>
    <row r="183" spans="1:23" x14ac:dyDescent="0.25">
      <c r="A183" s="2" t="s">
        <v>410</v>
      </c>
      <c r="B183" s="1" t="s">
        <v>72</v>
      </c>
      <c r="C183" s="8">
        <v>45922</v>
      </c>
      <c r="D183" s="1" t="s">
        <v>107</v>
      </c>
      <c r="E183" s="1" t="s">
        <v>107</v>
      </c>
      <c r="F183" s="1" t="s">
        <v>44</v>
      </c>
      <c r="G183" s="1">
        <v>43</v>
      </c>
      <c r="H183" s="1" t="s">
        <v>69</v>
      </c>
      <c r="I183" s="1" t="s">
        <v>36</v>
      </c>
      <c r="J183" s="1" t="s">
        <v>156</v>
      </c>
      <c r="K183" s="14">
        <v>3</v>
      </c>
      <c r="L183" s="1">
        <v>5915</v>
      </c>
      <c r="M183" s="1">
        <v>0</v>
      </c>
      <c r="N183" s="1">
        <f>Table1[[#This Row],[Discount]]/100</f>
        <v>0</v>
      </c>
      <c r="O183" s="1">
        <v>0</v>
      </c>
      <c r="P183" s="1">
        <v>17745</v>
      </c>
      <c r="Q183" s="1">
        <v>225</v>
      </c>
      <c r="R183" s="1">
        <v>17970</v>
      </c>
      <c r="S183" s="1" t="s">
        <v>38</v>
      </c>
      <c r="T183" s="1" t="s">
        <v>118</v>
      </c>
      <c r="U183" s="1" t="s">
        <v>30</v>
      </c>
      <c r="V183" s="11">
        <v>1</v>
      </c>
      <c r="W183" s="18">
        <v>3</v>
      </c>
    </row>
    <row r="184" spans="1:23" x14ac:dyDescent="0.25">
      <c r="A184" s="2" t="s">
        <v>411</v>
      </c>
      <c r="B184" s="1" t="s">
        <v>195</v>
      </c>
      <c r="C184" s="8">
        <v>45846</v>
      </c>
      <c r="D184" s="1" t="s">
        <v>43</v>
      </c>
      <c r="E184" s="1" t="s">
        <v>43</v>
      </c>
      <c r="F184" s="1" t="s">
        <v>34</v>
      </c>
      <c r="G184" s="1">
        <v>49</v>
      </c>
      <c r="H184" s="1" t="s">
        <v>25</v>
      </c>
      <c r="I184" s="1" t="s">
        <v>58</v>
      </c>
      <c r="J184" s="1" t="s">
        <v>65</v>
      </c>
      <c r="K184" s="14">
        <v>1</v>
      </c>
      <c r="L184" s="1">
        <v>3363</v>
      </c>
      <c r="M184" s="1">
        <v>25</v>
      </c>
      <c r="N184" s="1">
        <f>Table1[[#This Row],[Discount]]/100</f>
        <v>0.25</v>
      </c>
      <c r="O184" s="1">
        <v>840.75</v>
      </c>
      <c r="P184" s="1">
        <v>2522.25</v>
      </c>
      <c r="Q184" s="1">
        <v>138</v>
      </c>
      <c r="R184" s="1">
        <v>2660.25</v>
      </c>
      <c r="S184" s="1" t="s">
        <v>47</v>
      </c>
      <c r="T184" s="1" t="s">
        <v>39</v>
      </c>
      <c r="U184" s="1" t="s">
        <v>40</v>
      </c>
      <c r="V184" s="11">
        <v>5</v>
      </c>
      <c r="W184" s="18"/>
    </row>
    <row r="185" spans="1:23" x14ac:dyDescent="0.25">
      <c r="A185" s="2" t="s">
        <v>412</v>
      </c>
      <c r="B185" s="1" t="s">
        <v>413</v>
      </c>
      <c r="C185" s="8">
        <v>45815</v>
      </c>
      <c r="D185" s="1" t="s">
        <v>153</v>
      </c>
      <c r="E185" s="1" t="s">
        <v>153</v>
      </c>
      <c r="F185" s="1" t="s">
        <v>44</v>
      </c>
      <c r="G185" s="1">
        <v>31</v>
      </c>
      <c r="H185" s="1" t="s">
        <v>57</v>
      </c>
      <c r="I185" s="1" t="s">
        <v>45</v>
      </c>
      <c r="J185" s="1" t="s">
        <v>46</v>
      </c>
      <c r="K185" s="14">
        <v>2</v>
      </c>
      <c r="L185" s="1">
        <v>1452</v>
      </c>
      <c r="M185" s="1">
        <v>25</v>
      </c>
      <c r="N185" s="1">
        <f>Table1[[#This Row],[Discount]]/100</f>
        <v>0.25</v>
      </c>
      <c r="O185" s="1">
        <v>726</v>
      </c>
      <c r="P185" s="1">
        <v>2178</v>
      </c>
      <c r="Q185" s="1">
        <v>208</v>
      </c>
      <c r="R185" s="1">
        <v>2386</v>
      </c>
      <c r="S185" s="1" t="s">
        <v>28</v>
      </c>
      <c r="T185" s="1" t="s">
        <v>39</v>
      </c>
      <c r="U185" s="1" t="s">
        <v>30</v>
      </c>
      <c r="V185" s="11">
        <v>1</v>
      </c>
      <c r="W185" s="18">
        <v>4.5</v>
      </c>
    </row>
    <row r="186" spans="1:23" x14ac:dyDescent="0.25">
      <c r="A186" s="2" t="s">
        <v>414</v>
      </c>
      <c r="B186" s="1" t="s">
        <v>415</v>
      </c>
      <c r="C186" s="8">
        <v>45726</v>
      </c>
      <c r="D186" s="1" t="s">
        <v>102</v>
      </c>
      <c r="E186" s="1" t="s">
        <v>103</v>
      </c>
      <c r="F186" s="1" t="s">
        <v>24</v>
      </c>
      <c r="G186" s="1">
        <v>43</v>
      </c>
      <c r="H186" s="1" t="s">
        <v>50</v>
      </c>
      <c r="I186" s="1" t="s">
        <v>88</v>
      </c>
      <c r="J186" s="1" t="s">
        <v>89</v>
      </c>
      <c r="K186" s="14">
        <v>1</v>
      </c>
      <c r="L186" s="1">
        <v>7067</v>
      </c>
      <c r="M186" s="1">
        <v>0</v>
      </c>
      <c r="N186" s="1">
        <f>Table1[[#This Row],[Discount]]/100</f>
        <v>0</v>
      </c>
      <c r="O186" s="1">
        <v>0</v>
      </c>
      <c r="P186" s="1">
        <v>7067</v>
      </c>
      <c r="Q186" s="1">
        <v>149</v>
      </c>
      <c r="R186" s="1">
        <v>7216</v>
      </c>
      <c r="S186" s="1" t="s">
        <v>93</v>
      </c>
      <c r="T186" s="1" t="s">
        <v>29</v>
      </c>
      <c r="U186" s="1" t="s">
        <v>30</v>
      </c>
      <c r="V186" s="11">
        <v>6</v>
      </c>
      <c r="W186" s="18">
        <v>3</v>
      </c>
    </row>
    <row r="187" spans="1:23" x14ac:dyDescent="0.25">
      <c r="A187" s="2" t="s">
        <v>416</v>
      </c>
      <c r="B187" s="1" t="s">
        <v>417</v>
      </c>
      <c r="C187" s="8">
        <v>45727</v>
      </c>
      <c r="D187" s="1" t="s">
        <v>56</v>
      </c>
      <c r="E187" s="1" t="s">
        <v>56</v>
      </c>
      <c r="F187" s="1" t="s">
        <v>34</v>
      </c>
      <c r="G187" s="1">
        <v>55</v>
      </c>
      <c r="H187" s="1" t="s">
        <v>35</v>
      </c>
      <c r="I187" s="1" t="s">
        <v>74</v>
      </c>
      <c r="J187" s="1" t="s">
        <v>97</v>
      </c>
      <c r="K187" s="14">
        <v>3</v>
      </c>
      <c r="L187" s="1">
        <v>3619</v>
      </c>
      <c r="M187" s="1">
        <v>5</v>
      </c>
      <c r="N187" s="1">
        <f>Table1[[#This Row],[Discount]]/100</f>
        <v>0.05</v>
      </c>
      <c r="O187" s="1">
        <v>542.85</v>
      </c>
      <c r="P187" s="1">
        <v>10314.15</v>
      </c>
      <c r="Q187" s="1">
        <v>71</v>
      </c>
      <c r="R187" s="1">
        <v>10385.15</v>
      </c>
      <c r="S187" s="1" t="s">
        <v>93</v>
      </c>
      <c r="T187" s="1" t="s">
        <v>118</v>
      </c>
      <c r="U187" s="1" t="s">
        <v>30</v>
      </c>
      <c r="V187" s="11">
        <v>7</v>
      </c>
      <c r="W187" s="18">
        <v>3</v>
      </c>
    </row>
    <row r="188" spans="1:23" x14ac:dyDescent="0.25">
      <c r="A188" s="2" t="s">
        <v>418</v>
      </c>
      <c r="B188" s="1" t="s">
        <v>419</v>
      </c>
      <c r="C188" s="8">
        <v>46009</v>
      </c>
      <c r="D188" s="1" t="s">
        <v>83</v>
      </c>
      <c r="E188" s="1" t="s">
        <v>83</v>
      </c>
      <c r="F188" s="1" t="s">
        <v>44</v>
      </c>
      <c r="G188" s="1">
        <v>56</v>
      </c>
      <c r="H188" s="1" t="s">
        <v>35</v>
      </c>
      <c r="I188" s="1" t="s">
        <v>45</v>
      </c>
      <c r="J188" s="1" t="s">
        <v>46</v>
      </c>
      <c r="K188" s="14">
        <v>5</v>
      </c>
      <c r="L188" s="1">
        <v>1342</v>
      </c>
      <c r="M188" s="1">
        <v>0</v>
      </c>
      <c r="N188" s="1">
        <f>Table1[[#This Row],[Discount]]/100</f>
        <v>0</v>
      </c>
      <c r="O188" s="1">
        <v>0</v>
      </c>
      <c r="P188" s="1">
        <v>6710</v>
      </c>
      <c r="Q188" s="1">
        <v>226</v>
      </c>
      <c r="R188" s="1">
        <v>6936</v>
      </c>
      <c r="S188" s="1" t="s">
        <v>28</v>
      </c>
      <c r="T188" s="1" t="s">
        <v>29</v>
      </c>
      <c r="U188" s="1" t="s">
        <v>30</v>
      </c>
      <c r="V188" s="11">
        <v>3</v>
      </c>
      <c r="W188" s="18">
        <v>3</v>
      </c>
    </row>
    <row r="189" spans="1:23" x14ac:dyDescent="0.25">
      <c r="A189" s="2" t="s">
        <v>420</v>
      </c>
      <c r="B189" s="1" t="s">
        <v>421</v>
      </c>
      <c r="C189" s="8">
        <v>45889</v>
      </c>
      <c r="D189" s="1" t="s">
        <v>33</v>
      </c>
      <c r="E189" s="1" t="s">
        <v>33</v>
      </c>
      <c r="F189" s="1" t="s">
        <v>34</v>
      </c>
      <c r="G189" s="1">
        <v>53</v>
      </c>
      <c r="H189" s="1" t="s">
        <v>57</v>
      </c>
      <c r="I189" s="1" t="s">
        <v>88</v>
      </c>
      <c r="J189" s="1" t="s">
        <v>162</v>
      </c>
      <c r="K189" s="14">
        <v>5</v>
      </c>
      <c r="L189" s="1">
        <v>5196</v>
      </c>
      <c r="M189" s="1">
        <v>0</v>
      </c>
      <c r="N189" s="1">
        <f>Table1[[#This Row],[Discount]]/100</f>
        <v>0</v>
      </c>
      <c r="O189" s="1">
        <v>0</v>
      </c>
      <c r="P189" s="1">
        <v>25980</v>
      </c>
      <c r="Q189" s="1">
        <v>238</v>
      </c>
      <c r="R189" s="1">
        <v>26218</v>
      </c>
      <c r="S189" s="1" t="s">
        <v>28</v>
      </c>
      <c r="T189" s="1" t="s">
        <v>39</v>
      </c>
      <c r="U189" s="1" t="s">
        <v>70</v>
      </c>
      <c r="W189" s="18"/>
    </row>
    <row r="190" spans="1:23" x14ac:dyDescent="0.25">
      <c r="A190" s="2" t="s">
        <v>422</v>
      </c>
      <c r="B190" s="1" t="s">
        <v>423</v>
      </c>
      <c r="C190" s="8">
        <v>45790</v>
      </c>
      <c r="D190" s="1" t="s">
        <v>43</v>
      </c>
      <c r="E190" s="1" t="s">
        <v>43</v>
      </c>
      <c r="F190" s="1" t="s">
        <v>34</v>
      </c>
      <c r="G190" s="1">
        <v>22</v>
      </c>
      <c r="H190" s="1" t="s">
        <v>57</v>
      </c>
      <c r="I190" s="1" t="s">
        <v>26</v>
      </c>
      <c r="J190" s="1" t="s">
        <v>27</v>
      </c>
      <c r="K190" s="14">
        <v>2</v>
      </c>
      <c r="L190" s="1">
        <v>17933</v>
      </c>
      <c r="M190" s="1">
        <v>25</v>
      </c>
      <c r="N190" s="1">
        <f>Table1[[#This Row],[Discount]]/100</f>
        <v>0.25</v>
      </c>
      <c r="O190" s="1">
        <v>8966.5</v>
      </c>
      <c r="P190" s="1">
        <v>26899.5</v>
      </c>
      <c r="Q190" s="1">
        <v>170</v>
      </c>
      <c r="R190" s="1">
        <v>27069.5</v>
      </c>
      <c r="S190" s="1" t="s">
        <v>47</v>
      </c>
      <c r="T190" s="1" t="s">
        <v>39</v>
      </c>
      <c r="U190" s="1" t="s">
        <v>30</v>
      </c>
      <c r="V190" s="11">
        <v>7</v>
      </c>
      <c r="W190" s="18">
        <v>3</v>
      </c>
    </row>
    <row r="191" spans="1:23" x14ac:dyDescent="0.25">
      <c r="A191" s="2" t="s">
        <v>424</v>
      </c>
      <c r="B191" s="1" t="s">
        <v>425</v>
      </c>
      <c r="C191" s="8">
        <v>45853</v>
      </c>
      <c r="D191" s="1" t="s">
        <v>107</v>
      </c>
      <c r="E191" s="1" t="s">
        <v>107</v>
      </c>
      <c r="F191" s="1" t="s">
        <v>34</v>
      </c>
      <c r="G191" s="1">
        <v>45</v>
      </c>
      <c r="H191" s="1" t="s">
        <v>35</v>
      </c>
      <c r="I191" s="1" t="s">
        <v>88</v>
      </c>
      <c r="J191" s="1" t="s">
        <v>89</v>
      </c>
      <c r="K191" s="14">
        <v>1</v>
      </c>
      <c r="L191" s="1">
        <v>3052</v>
      </c>
      <c r="M191" s="1">
        <v>25</v>
      </c>
      <c r="N191" s="1">
        <f>Table1[[#This Row],[Discount]]/100</f>
        <v>0.25</v>
      </c>
      <c r="O191" s="1">
        <v>763</v>
      </c>
      <c r="P191" s="1">
        <v>2289</v>
      </c>
      <c r="Q191" s="1">
        <v>27</v>
      </c>
      <c r="R191" s="1">
        <v>2316</v>
      </c>
      <c r="S191" s="1" t="s">
        <v>38</v>
      </c>
      <c r="T191" s="1" t="s">
        <v>118</v>
      </c>
      <c r="U191" s="1" t="s">
        <v>30</v>
      </c>
      <c r="V191" s="11">
        <v>6</v>
      </c>
      <c r="W191" s="18">
        <v>3.5</v>
      </c>
    </row>
    <row r="192" spans="1:23" x14ac:dyDescent="0.25">
      <c r="A192" s="2" t="s">
        <v>426</v>
      </c>
      <c r="B192" s="1" t="s">
        <v>287</v>
      </c>
      <c r="C192" s="8">
        <v>45801</v>
      </c>
      <c r="D192" s="1" t="s">
        <v>78</v>
      </c>
      <c r="E192" s="1" t="s">
        <v>78</v>
      </c>
      <c r="F192" s="1" t="s">
        <v>24</v>
      </c>
      <c r="G192" s="1">
        <v>26</v>
      </c>
      <c r="H192" s="1" t="s">
        <v>25</v>
      </c>
      <c r="I192" s="1" t="s">
        <v>74</v>
      </c>
      <c r="J192" s="1" t="s">
        <v>137</v>
      </c>
      <c r="K192" s="14">
        <v>5</v>
      </c>
      <c r="L192" s="1">
        <v>5702</v>
      </c>
      <c r="M192" s="1">
        <v>20</v>
      </c>
      <c r="N192" s="1">
        <f>Table1[[#This Row],[Discount]]/100</f>
        <v>0.2</v>
      </c>
      <c r="O192" s="1">
        <v>5702</v>
      </c>
      <c r="P192" s="1">
        <v>22808</v>
      </c>
      <c r="Q192" s="1">
        <v>42</v>
      </c>
      <c r="R192" s="1">
        <v>22850</v>
      </c>
      <c r="S192" s="1" t="s">
        <v>47</v>
      </c>
      <c r="T192" s="1" t="s">
        <v>29</v>
      </c>
      <c r="U192" s="1" t="s">
        <v>30</v>
      </c>
      <c r="V192" s="11">
        <v>4</v>
      </c>
      <c r="W192" s="18">
        <v>4</v>
      </c>
    </row>
    <row r="193" spans="1:23" x14ac:dyDescent="0.25">
      <c r="A193" s="2" t="s">
        <v>427</v>
      </c>
      <c r="B193" s="1" t="s">
        <v>101</v>
      </c>
      <c r="C193" s="8">
        <v>45796</v>
      </c>
      <c r="D193" s="1" t="s">
        <v>140</v>
      </c>
      <c r="E193" s="1" t="s">
        <v>141</v>
      </c>
      <c r="F193" s="1" t="s">
        <v>34</v>
      </c>
      <c r="G193" s="1">
        <v>19</v>
      </c>
      <c r="H193" s="1" t="s">
        <v>50</v>
      </c>
      <c r="I193" s="1" t="s">
        <v>58</v>
      </c>
      <c r="J193" s="1" t="s">
        <v>104</v>
      </c>
      <c r="K193" s="14">
        <v>4</v>
      </c>
      <c r="L193" s="1">
        <v>1559</v>
      </c>
      <c r="M193" s="1">
        <v>20</v>
      </c>
      <c r="N193" s="1">
        <f>Table1[[#This Row],[Discount]]/100</f>
        <v>0.2</v>
      </c>
      <c r="O193" s="1">
        <v>1247.2</v>
      </c>
      <c r="P193" s="1">
        <v>4988.8</v>
      </c>
      <c r="Q193" s="1">
        <v>119</v>
      </c>
      <c r="R193" s="1">
        <v>5107.8</v>
      </c>
      <c r="S193" s="1" t="s">
        <v>38</v>
      </c>
      <c r="T193" s="1" t="s">
        <v>39</v>
      </c>
      <c r="U193" s="1" t="s">
        <v>30</v>
      </c>
      <c r="V193" s="11">
        <v>2</v>
      </c>
      <c r="W193" s="18">
        <v>4</v>
      </c>
    </row>
    <row r="194" spans="1:23" x14ac:dyDescent="0.25">
      <c r="A194" s="2" t="s">
        <v>428</v>
      </c>
      <c r="B194" s="1" t="s">
        <v>429</v>
      </c>
      <c r="C194" s="8">
        <v>45686</v>
      </c>
      <c r="D194" s="1" t="s">
        <v>140</v>
      </c>
      <c r="E194" s="1" t="s">
        <v>141</v>
      </c>
      <c r="F194" s="1" t="s">
        <v>44</v>
      </c>
      <c r="G194" s="1">
        <v>32</v>
      </c>
      <c r="H194" s="1" t="s">
        <v>69</v>
      </c>
      <c r="I194" s="1" t="s">
        <v>45</v>
      </c>
      <c r="J194" s="1" t="s">
        <v>84</v>
      </c>
      <c r="K194" s="14">
        <v>3</v>
      </c>
      <c r="L194" s="1">
        <v>1095</v>
      </c>
      <c r="M194" s="1">
        <v>10</v>
      </c>
      <c r="N194" s="1">
        <f>Table1[[#This Row],[Discount]]/100</f>
        <v>0.1</v>
      </c>
      <c r="O194" s="1">
        <v>328.5</v>
      </c>
      <c r="P194" s="1">
        <v>2956.5</v>
      </c>
      <c r="Q194" s="1">
        <v>222</v>
      </c>
      <c r="R194" s="1">
        <v>3178.5</v>
      </c>
      <c r="S194" s="1" t="s">
        <v>47</v>
      </c>
      <c r="T194" s="1" t="s">
        <v>39</v>
      </c>
      <c r="U194" s="1" t="s">
        <v>30</v>
      </c>
      <c r="V194" s="11">
        <v>7</v>
      </c>
      <c r="W194" s="18">
        <v>4.5</v>
      </c>
    </row>
    <row r="195" spans="1:23" x14ac:dyDescent="0.25">
      <c r="A195" s="2" t="s">
        <v>430</v>
      </c>
      <c r="B195" s="1" t="s">
        <v>289</v>
      </c>
      <c r="C195" s="8">
        <v>45910</v>
      </c>
      <c r="D195" s="1" t="s">
        <v>33</v>
      </c>
      <c r="E195" s="1" t="s">
        <v>33</v>
      </c>
      <c r="F195" s="1" t="s">
        <v>44</v>
      </c>
      <c r="G195" s="1">
        <v>37</v>
      </c>
      <c r="H195" s="1" t="s">
        <v>50</v>
      </c>
      <c r="I195" s="1" t="s">
        <v>58</v>
      </c>
      <c r="J195" s="1" t="s">
        <v>62</v>
      </c>
      <c r="K195" s="14">
        <v>3</v>
      </c>
      <c r="L195" s="1">
        <v>732</v>
      </c>
      <c r="M195" s="1">
        <v>5</v>
      </c>
      <c r="N195" s="1">
        <f>Table1[[#This Row],[Discount]]/100</f>
        <v>0.05</v>
      </c>
      <c r="O195" s="1">
        <v>109.8</v>
      </c>
      <c r="P195" s="1">
        <v>2086.1999999999998</v>
      </c>
      <c r="Q195" s="1">
        <v>227</v>
      </c>
      <c r="R195" s="1">
        <v>2313.1999999999998</v>
      </c>
      <c r="S195" s="1" t="s">
        <v>28</v>
      </c>
      <c r="T195" s="1" t="s">
        <v>39</v>
      </c>
      <c r="U195" s="1" t="s">
        <v>53</v>
      </c>
      <c r="W195" s="18"/>
    </row>
    <row r="196" spans="1:23" x14ac:dyDescent="0.25">
      <c r="A196" s="2" t="s">
        <v>431</v>
      </c>
      <c r="B196" s="1" t="s">
        <v>432</v>
      </c>
      <c r="C196" s="8">
        <v>45748</v>
      </c>
      <c r="D196" s="1" t="s">
        <v>33</v>
      </c>
      <c r="E196" s="1" t="s">
        <v>33</v>
      </c>
      <c r="F196" s="1" t="s">
        <v>34</v>
      </c>
      <c r="G196" s="1">
        <v>38</v>
      </c>
      <c r="H196" s="1" t="s">
        <v>35</v>
      </c>
      <c r="I196" s="1" t="s">
        <v>58</v>
      </c>
      <c r="J196" s="1" t="s">
        <v>59</v>
      </c>
      <c r="K196" s="14">
        <v>1</v>
      </c>
      <c r="L196" s="1">
        <v>3909</v>
      </c>
      <c r="M196" s="1">
        <v>5</v>
      </c>
      <c r="N196" s="1">
        <f>Table1[[#This Row],[Discount]]/100</f>
        <v>0.05</v>
      </c>
      <c r="O196" s="1">
        <v>195.45</v>
      </c>
      <c r="P196" s="1">
        <v>3713.55</v>
      </c>
      <c r="Q196" s="1">
        <v>107</v>
      </c>
      <c r="R196" s="1">
        <v>3820.55</v>
      </c>
      <c r="S196" s="1" t="s">
        <v>52</v>
      </c>
      <c r="T196" s="1" t="s">
        <v>29</v>
      </c>
      <c r="U196" s="1" t="s">
        <v>53</v>
      </c>
      <c r="W196" s="18"/>
    </row>
    <row r="197" spans="1:23" x14ac:dyDescent="0.25">
      <c r="A197" s="2" t="s">
        <v>433</v>
      </c>
      <c r="B197" s="1" t="s">
        <v>374</v>
      </c>
      <c r="C197" s="8">
        <v>45738</v>
      </c>
      <c r="D197" s="1" t="s">
        <v>107</v>
      </c>
      <c r="E197" s="1" t="s">
        <v>107</v>
      </c>
      <c r="F197" s="1" t="s">
        <v>44</v>
      </c>
      <c r="G197" s="1">
        <v>45</v>
      </c>
      <c r="H197" s="1" t="s">
        <v>69</v>
      </c>
      <c r="I197" s="1" t="s">
        <v>74</v>
      </c>
      <c r="J197" s="1" t="s">
        <v>137</v>
      </c>
      <c r="K197" s="14">
        <v>5</v>
      </c>
      <c r="L197" s="1">
        <v>994</v>
      </c>
      <c r="M197" s="1">
        <v>10</v>
      </c>
      <c r="N197" s="1">
        <f>Table1[[#This Row],[Discount]]/100</f>
        <v>0.1</v>
      </c>
      <c r="O197" s="1">
        <v>497</v>
      </c>
      <c r="P197" s="1">
        <v>4473</v>
      </c>
      <c r="Q197" s="1">
        <v>54</v>
      </c>
      <c r="R197" s="1">
        <v>4527</v>
      </c>
      <c r="S197" s="1" t="s">
        <v>47</v>
      </c>
      <c r="T197" s="1" t="s">
        <v>29</v>
      </c>
      <c r="U197" s="1" t="s">
        <v>30</v>
      </c>
      <c r="V197" s="11">
        <v>6</v>
      </c>
      <c r="W197" s="18">
        <v>5</v>
      </c>
    </row>
    <row r="198" spans="1:23" x14ac:dyDescent="0.25">
      <c r="A198" s="2" t="s">
        <v>434</v>
      </c>
      <c r="B198" s="1" t="s">
        <v>401</v>
      </c>
      <c r="C198" s="8">
        <v>45748</v>
      </c>
      <c r="D198" s="1" t="s">
        <v>120</v>
      </c>
      <c r="E198" s="1" t="s">
        <v>120</v>
      </c>
      <c r="F198" s="1" t="s">
        <v>24</v>
      </c>
      <c r="G198" s="1">
        <v>18</v>
      </c>
      <c r="H198" s="1" t="s">
        <v>25</v>
      </c>
      <c r="I198" s="1" t="s">
        <v>36</v>
      </c>
      <c r="J198" s="1" t="s">
        <v>37</v>
      </c>
      <c r="K198" s="14">
        <v>3</v>
      </c>
      <c r="L198" s="1">
        <v>2913</v>
      </c>
      <c r="M198" s="1">
        <v>25</v>
      </c>
      <c r="N198" s="1">
        <f>Table1[[#This Row],[Discount]]/100</f>
        <v>0.25</v>
      </c>
      <c r="O198" s="1">
        <v>2184.75</v>
      </c>
      <c r="P198" s="1">
        <v>6554.25</v>
      </c>
      <c r="Q198" s="1">
        <v>52</v>
      </c>
      <c r="R198" s="1">
        <v>6606.25</v>
      </c>
      <c r="S198" s="1" t="s">
        <v>93</v>
      </c>
      <c r="T198" s="1" t="s">
        <v>29</v>
      </c>
      <c r="U198" s="1" t="s">
        <v>40</v>
      </c>
      <c r="V198" s="11">
        <v>6</v>
      </c>
      <c r="W198" s="18"/>
    </row>
    <row r="199" spans="1:23" x14ac:dyDescent="0.25">
      <c r="A199" s="2" t="s">
        <v>435</v>
      </c>
      <c r="B199" s="1" t="s">
        <v>250</v>
      </c>
      <c r="C199" s="8">
        <v>45779</v>
      </c>
      <c r="D199" s="1" t="s">
        <v>153</v>
      </c>
      <c r="E199" s="1" t="s">
        <v>153</v>
      </c>
      <c r="F199" s="1" t="s">
        <v>34</v>
      </c>
      <c r="G199" s="1">
        <v>38</v>
      </c>
      <c r="H199" s="1" t="s">
        <v>69</v>
      </c>
      <c r="I199" s="1" t="s">
        <v>74</v>
      </c>
      <c r="J199" s="1" t="s">
        <v>409</v>
      </c>
      <c r="K199" s="14">
        <v>3</v>
      </c>
      <c r="L199" s="1">
        <v>5639</v>
      </c>
      <c r="M199" s="1">
        <v>5</v>
      </c>
      <c r="N199" s="1">
        <f>Table1[[#This Row],[Discount]]/100</f>
        <v>0.05</v>
      </c>
      <c r="O199" s="1">
        <v>845.85</v>
      </c>
      <c r="P199" s="1">
        <v>16071.15</v>
      </c>
      <c r="Q199" s="1">
        <v>39</v>
      </c>
      <c r="R199" s="1">
        <v>16110.15</v>
      </c>
      <c r="S199" s="1" t="s">
        <v>93</v>
      </c>
      <c r="T199" s="1" t="s">
        <v>39</v>
      </c>
      <c r="U199" s="1" t="s">
        <v>30</v>
      </c>
      <c r="V199" s="11">
        <v>3</v>
      </c>
      <c r="W199" s="18">
        <v>3.5</v>
      </c>
    </row>
    <row r="200" spans="1:23" x14ac:dyDescent="0.25">
      <c r="A200" s="2" t="s">
        <v>436</v>
      </c>
      <c r="B200" s="1" t="s">
        <v>437</v>
      </c>
      <c r="C200" s="8">
        <v>45869</v>
      </c>
      <c r="D200" s="1" t="s">
        <v>110</v>
      </c>
      <c r="E200" s="1" t="s">
        <v>110</v>
      </c>
      <c r="F200" s="1" t="s">
        <v>24</v>
      </c>
      <c r="G200" s="1">
        <v>42</v>
      </c>
      <c r="H200" s="1" t="s">
        <v>57</v>
      </c>
      <c r="I200" s="1" t="s">
        <v>74</v>
      </c>
      <c r="J200" s="1" t="s">
        <v>75</v>
      </c>
      <c r="K200" s="14">
        <v>1</v>
      </c>
      <c r="L200" s="1">
        <v>2502</v>
      </c>
      <c r="M200" s="1">
        <v>15</v>
      </c>
      <c r="N200" s="1">
        <f>Table1[[#This Row],[Discount]]/100</f>
        <v>0.15</v>
      </c>
      <c r="O200" s="1">
        <v>375.3</v>
      </c>
      <c r="P200" s="1">
        <v>2126.6999999999998</v>
      </c>
      <c r="Q200" s="1">
        <v>62</v>
      </c>
      <c r="R200" s="1">
        <v>2188.6999999999998</v>
      </c>
      <c r="S200" s="1" t="s">
        <v>28</v>
      </c>
      <c r="T200" s="1" t="s">
        <v>118</v>
      </c>
      <c r="U200" s="1" t="s">
        <v>40</v>
      </c>
      <c r="V200" s="11">
        <v>4</v>
      </c>
      <c r="W200" s="18"/>
    </row>
    <row r="201" spans="1:23" x14ac:dyDescent="0.25">
      <c r="A201" s="2" t="s">
        <v>438</v>
      </c>
      <c r="B201" s="1" t="s">
        <v>439</v>
      </c>
      <c r="C201" s="8">
        <v>45833</v>
      </c>
      <c r="D201" s="1" t="s">
        <v>140</v>
      </c>
      <c r="E201" s="1" t="s">
        <v>141</v>
      </c>
      <c r="F201" s="1" t="s">
        <v>24</v>
      </c>
      <c r="G201" s="1">
        <v>42</v>
      </c>
      <c r="H201" s="1" t="s">
        <v>50</v>
      </c>
      <c r="I201" s="1" t="s">
        <v>58</v>
      </c>
      <c r="J201" s="1" t="s">
        <v>59</v>
      </c>
      <c r="K201" s="14">
        <v>2</v>
      </c>
      <c r="L201" s="1">
        <v>232</v>
      </c>
      <c r="M201" s="1">
        <v>10</v>
      </c>
      <c r="N201" s="1">
        <f>Table1[[#This Row],[Discount]]/100</f>
        <v>0.1</v>
      </c>
      <c r="O201" s="1">
        <v>46.4</v>
      </c>
      <c r="P201" s="1">
        <v>417.6</v>
      </c>
      <c r="Q201" s="1">
        <v>38</v>
      </c>
      <c r="R201" s="1">
        <v>455.6</v>
      </c>
      <c r="S201" s="1" t="s">
        <v>52</v>
      </c>
      <c r="T201" s="1" t="s">
        <v>39</v>
      </c>
      <c r="U201" s="1" t="s">
        <v>70</v>
      </c>
      <c r="W201" s="18"/>
    </row>
    <row r="202" spans="1:23" x14ac:dyDescent="0.25">
      <c r="A202" s="2" t="s">
        <v>440</v>
      </c>
      <c r="B202" s="1" t="s">
        <v>441</v>
      </c>
      <c r="C202" s="8">
        <v>45867</v>
      </c>
      <c r="D202" s="1" t="s">
        <v>83</v>
      </c>
      <c r="E202" s="1" t="s">
        <v>83</v>
      </c>
      <c r="F202" s="1" t="s">
        <v>24</v>
      </c>
      <c r="G202" s="1">
        <v>53</v>
      </c>
      <c r="H202" s="1" t="s">
        <v>25</v>
      </c>
      <c r="I202" s="1" t="s">
        <v>58</v>
      </c>
      <c r="J202" s="1" t="s">
        <v>114</v>
      </c>
      <c r="K202" s="14">
        <v>4</v>
      </c>
      <c r="L202" s="1">
        <v>793</v>
      </c>
      <c r="M202" s="1">
        <v>0</v>
      </c>
      <c r="N202" s="1">
        <f>Table1[[#This Row],[Discount]]/100</f>
        <v>0</v>
      </c>
      <c r="O202" s="1">
        <v>0</v>
      </c>
      <c r="P202" s="1">
        <v>3172</v>
      </c>
      <c r="Q202" s="1">
        <v>68</v>
      </c>
      <c r="R202" s="1">
        <v>3240</v>
      </c>
      <c r="S202" s="1" t="s">
        <v>38</v>
      </c>
      <c r="T202" s="1" t="s">
        <v>29</v>
      </c>
      <c r="U202" s="1" t="s">
        <v>30</v>
      </c>
      <c r="V202" s="11">
        <v>6</v>
      </c>
      <c r="W202" s="18">
        <v>5</v>
      </c>
    </row>
    <row r="203" spans="1:23" x14ac:dyDescent="0.25">
      <c r="A203" s="2" t="s">
        <v>442</v>
      </c>
      <c r="B203" s="1" t="s">
        <v>202</v>
      </c>
      <c r="C203" s="8">
        <v>45876</v>
      </c>
      <c r="D203" s="1" t="s">
        <v>110</v>
      </c>
      <c r="E203" s="1" t="s">
        <v>110</v>
      </c>
      <c r="F203" s="1" t="s">
        <v>24</v>
      </c>
      <c r="G203" s="1">
        <v>36</v>
      </c>
      <c r="H203" s="1" t="s">
        <v>57</v>
      </c>
      <c r="I203" s="1" t="s">
        <v>88</v>
      </c>
      <c r="J203" s="1" t="s">
        <v>213</v>
      </c>
      <c r="K203" s="14">
        <v>1</v>
      </c>
      <c r="L203" s="1">
        <v>9667</v>
      </c>
      <c r="M203" s="1">
        <v>5</v>
      </c>
      <c r="N203" s="1">
        <f>Table1[[#This Row],[Discount]]/100</f>
        <v>0.05</v>
      </c>
      <c r="O203" s="1">
        <v>483.35</v>
      </c>
      <c r="P203" s="1">
        <v>9183.65</v>
      </c>
      <c r="Q203" s="1">
        <v>20</v>
      </c>
      <c r="R203" s="1">
        <v>9203.65</v>
      </c>
      <c r="S203" s="1" t="s">
        <v>47</v>
      </c>
      <c r="T203" s="1" t="s">
        <v>39</v>
      </c>
      <c r="U203" s="1" t="s">
        <v>30</v>
      </c>
      <c r="V203" s="11">
        <v>1</v>
      </c>
      <c r="W203" s="18">
        <v>5</v>
      </c>
    </row>
    <row r="204" spans="1:23" x14ac:dyDescent="0.25">
      <c r="A204" s="2" t="s">
        <v>443</v>
      </c>
      <c r="B204" s="1" t="s">
        <v>444</v>
      </c>
      <c r="C204" s="8">
        <v>45793</v>
      </c>
      <c r="D204" s="1" t="s">
        <v>153</v>
      </c>
      <c r="E204" s="1" t="s">
        <v>153</v>
      </c>
      <c r="F204" s="1" t="s">
        <v>34</v>
      </c>
      <c r="G204" s="1">
        <v>59</v>
      </c>
      <c r="H204" s="1" t="s">
        <v>69</v>
      </c>
      <c r="I204" s="1" t="s">
        <v>74</v>
      </c>
      <c r="J204" s="1" t="s">
        <v>75</v>
      </c>
      <c r="K204" s="14">
        <v>3</v>
      </c>
      <c r="L204" s="1">
        <v>4279</v>
      </c>
      <c r="M204" s="1">
        <v>15</v>
      </c>
      <c r="N204" s="1">
        <f>Table1[[#This Row],[Discount]]/100</f>
        <v>0.15</v>
      </c>
      <c r="O204" s="1">
        <v>1925.55</v>
      </c>
      <c r="P204" s="1">
        <v>10911.45</v>
      </c>
      <c r="Q204" s="1">
        <v>189</v>
      </c>
      <c r="R204" s="1">
        <v>11100.45</v>
      </c>
      <c r="S204" s="1" t="s">
        <v>93</v>
      </c>
      <c r="T204" s="1" t="s">
        <v>118</v>
      </c>
      <c r="U204" s="1" t="s">
        <v>30</v>
      </c>
      <c r="V204" s="11">
        <v>1</v>
      </c>
      <c r="W204" s="18">
        <v>4.5</v>
      </c>
    </row>
    <row r="205" spans="1:23" x14ac:dyDescent="0.25">
      <c r="A205" s="2" t="s">
        <v>445</v>
      </c>
      <c r="B205" s="1" t="s">
        <v>49</v>
      </c>
      <c r="C205" s="8">
        <v>46014</v>
      </c>
      <c r="D205" s="1" t="s">
        <v>56</v>
      </c>
      <c r="E205" s="1" t="s">
        <v>56</v>
      </c>
      <c r="F205" s="1" t="s">
        <v>44</v>
      </c>
      <c r="G205" s="1">
        <v>24</v>
      </c>
      <c r="H205" s="1" t="s">
        <v>25</v>
      </c>
      <c r="I205" s="1" t="s">
        <v>45</v>
      </c>
      <c r="J205" s="1" t="s">
        <v>46</v>
      </c>
      <c r="K205" s="14">
        <v>3</v>
      </c>
      <c r="L205" s="1">
        <v>1006</v>
      </c>
      <c r="M205" s="1">
        <v>20</v>
      </c>
      <c r="N205" s="1">
        <f>Table1[[#This Row],[Discount]]/100</f>
        <v>0.2</v>
      </c>
      <c r="O205" s="1">
        <v>603.6</v>
      </c>
      <c r="P205" s="1">
        <v>2414.4</v>
      </c>
      <c r="Q205" s="1">
        <v>212</v>
      </c>
      <c r="R205" s="1">
        <v>2626.4</v>
      </c>
      <c r="S205" s="1" t="s">
        <v>93</v>
      </c>
      <c r="T205" s="1" t="s">
        <v>29</v>
      </c>
      <c r="U205" s="1" t="s">
        <v>30</v>
      </c>
      <c r="V205" s="11">
        <v>6</v>
      </c>
      <c r="W205" s="18">
        <v>3</v>
      </c>
    </row>
    <row r="206" spans="1:23" x14ac:dyDescent="0.25">
      <c r="A206" s="2" t="s">
        <v>446</v>
      </c>
      <c r="B206" s="1" t="s">
        <v>237</v>
      </c>
      <c r="C206" s="8">
        <v>45860</v>
      </c>
      <c r="D206" s="1" t="s">
        <v>33</v>
      </c>
      <c r="E206" s="1" t="s">
        <v>33</v>
      </c>
      <c r="F206" s="1" t="s">
        <v>24</v>
      </c>
      <c r="G206" s="1">
        <v>20</v>
      </c>
      <c r="H206" s="1" t="s">
        <v>25</v>
      </c>
      <c r="I206" s="1" t="s">
        <v>58</v>
      </c>
      <c r="J206" s="1" t="s">
        <v>104</v>
      </c>
      <c r="K206" s="14">
        <v>4</v>
      </c>
      <c r="L206" s="1">
        <v>2495</v>
      </c>
      <c r="M206" s="1">
        <v>5</v>
      </c>
      <c r="N206" s="1">
        <f>Table1[[#This Row],[Discount]]/100</f>
        <v>0.05</v>
      </c>
      <c r="O206" s="1">
        <v>499</v>
      </c>
      <c r="P206" s="1">
        <v>9481</v>
      </c>
      <c r="Q206" s="1">
        <v>40</v>
      </c>
      <c r="R206" s="1">
        <v>9521</v>
      </c>
      <c r="S206" s="1" t="s">
        <v>66</v>
      </c>
      <c r="T206" s="1" t="s">
        <v>29</v>
      </c>
      <c r="U206" s="1" t="s">
        <v>30</v>
      </c>
      <c r="V206" s="11">
        <v>7</v>
      </c>
      <c r="W206" s="18">
        <v>4.5</v>
      </c>
    </row>
    <row r="207" spans="1:23" x14ac:dyDescent="0.25">
      <c r="A207" s="2" t="s">
        <v>447</v>
      </c>
      <c r="B207" s="1" t="s">
        <v>311</v>
      </c>
      <c r="C207" s="8">
        <v>45761</v>
      </c>
      <c r="D207" s="1" t="s">
        <v>56</v>
      </c>
      <c r="E207" s="1" t="s">
        <v>56</v>
      </c>
      <c r="F207" s="1" t="s">
        <v>24</v>
      </c>
      <c r="G207" s="1">
        <v>58</v>
      </c>
      <c r="H207" s="1" t="s">
        <v>69</v>
      </c>
      <c r="I207" s="1" t="s">
        <v>26</v>
      </c>
      <c r="J207" s="1" t="s">
        <v>283</v>
      </c>
      <c r="K207" s="14">
        <v>2</v>
      </c>
      <c r="L207" s="1">
        <v>22710</v>
      </c>
      <c r="M207" s="1">
        <v>0</v>
      </c>
      <c r="N207" s="1">
        <f>Table1[[#This Row],[Discount]]/100</f>
        <v>0</v>
      </c>
      <c r="O207" s="1">
        <v>0</v>
      </c>
      <c r="P207" s="1">
        <v>45420</v>
      </c>
      <c r="Q207" s="1">
        <v>131</v>
      </c>
      <c r="R207" s="1">
        <v>45551</v>
      </c>
      <c r="S207" s="1" t="s">
        <v>38</v>
      </c>
      <c r="T207" s="1" t="s">
        <v>29</v>
      </c>
      <c r="U207" s="1" t="s">
        <v>70</v>
      </c>
      <c r="W207" s="18"/>
    </row>
    <row r="208" spans="1:23" x14ac:dyDescent="0.25">
      <c r="A208" s="2" t="s">
        <v>448</v>
      </c>
      <c r="B208" s="1" t="s">
        <v>449</v>
      </c>
      <c r="C208" s="8">
        <v>45664</v>
      </c>
      <c r="D208" s="1" t="s">
        <v>107</v>
      </c>
      <c r="E208" s="1" t="s">
        <v>107</v>
      </c>
      <c r="F208" s="1" t="s">
        <v>44</v>
      </c>
      <c r="G208" s="1">
        <v>57</v>
      </c>
      <c r="H208" s="1" t="s">
        <v>50</v>
      </c>
      <c r="I208" s="1" t="s">
        <v>26</v>
      </c>
      <c r="J208" s="1" t="s">
        <v>27</v>
      </c>
      <c r="K208" s="14">
        <v>4</v>
      </c>
      <c r="L208" s="1">
        <v>73723</v>
      </c>
      <c r="M208" s="1">
        <v>20</v>
      </c>
      <c r="N208" s="1">
        <f>Table1[[#This Row],[Discount]]/100</f>
        <v>0.2</v>
      </c>
      <c r="O208" s="1">
        <v>58978.400000000001</v>
      </c>
      <c r="P208" s="1">
        <v>235913.60000000001</v>
      </c>
      <c r="Q208" s="1">
        <v>243</v>
      </c>
      <c r="R208" s="1">
        <v>236156.6</v>
      </c>
      <c r="S208" s="1" t="s">
        <v>93</v>
      </c>
      <c r="T208" s="1" t="s">
        <v>39</v>
      </c>
      <c r="U208" s="1" t="s">
        <v>30</v>
      </c>
      <c r="V208" s="11">
        <v>7</v>
      </c>
      <c r="W208" s="18">
        <v>4.5</v>
      </c>
    </row>
    <row r="209" spans="1:23" x14ac:dyDescent="0.25">
      <c r="A209" s="2" t="s">
        <v>450</v>
      </c>
      <c r="B209" s="1" t="s">
        <v>451</v>
      </c>
      <c r="C209" s="8">
        <v>45868</v>
      </c>
      <c r="D209" s="1" t="s">
        <v>56</v>
      </c>
      <c r="E209" s="1" t="s">
        <v>56</v>
      </c>
      <c r="F209" s="1" t="s">
        <v>44</v>
      </c>
      <c r="G209" s="1">
        <v>42</v>
      </c>
      <c r="H209" s="1" t="s">
        <v>25</v>
      </c>
      <c r="I209" s="1" t="s">
        <v>58</v>
      </c>
      <c r="J209" s="1" t="s">
        <v>114</v>
      </c>
      <c r="K209" s="14">
        <v>5</v>
      </c>
      <c r="L209" s="1">
        <v>3368</v>
      </c>
      <c r="M209" s="1">
        <v>20</v>
      </c>
      <c r="N209" s="1">
        <f>Table1[[#This Row],[Discount]]/100</f>
        <v>0.2</v>
      </c>
      <c r="O209" s="1">
        <v>3368</v>
      </c>
      <c r="P209" s="1">
        <v>13472</v>
      </c>
      <c r="Q209" s="1">
        <v>244</v>
      </c>
      <c r="R209" s="1">
        <v>13716</v>
      </c>
      <c r="S209" s="1" t="s">
        <v>52</v>
      </c>
      <c r="T209" s="1" t="s">
        <v>118</v>
      </c>
      <c r="U209" s="1" t="s">
        <v>80</v>
      </c>
      <c r="W209" s="18"/>
    </row>
    <row r="210" spans="1:23" x14ac:dyDescent="0.25">
      <c r="A210" s="2" t="s">
        <v>452</v>
      </c>
      <c r="B210" s="1" t="s">
        <v>331</v>
      </c>
      <c r="C210" s="8">
        <v>45901</v>
      </c>
      <c r="D210" s="1" t="s">
        <v>153</v>
      </c>
      <c r="E210" s="1" t="s">
        <v>153</v>
      </c>
      <c r="F210" s="1" t="s">
        <v>44</v>
      </c>
      <c r="G210" s="1">
        <v>41</v>
      </c>
      <c r="H210" s="1" t="s">
        <v>69</v>
      </c>
      <c r="I210" s="1" t="s">
        <v>74</v>
      </c>
      <c r="J210" s="1" t="s">
        <v>97</v>
      </c>
      <c r="K210" s="14">
        <v>4</v>
      </c>
      <c r="L210" s="1">
        <v>5464</v>
      </c>
      <c r="M210" s="1">
        <v>10</v>
      </c>
      <c r="N210" s="1">
        <f>Table1[[#This Row],[Discount]]/100</f>
        <v>0.1</v>
      </c>
      <c r="O210" s="1">
        <v>2185.6</v>
      </c>
      <c r="P210" s="1">
        <v>19670.400000000001</v>
      </c>
      <c r="Q210" s="1">
        <v>32</v>
      </c>
      <c r="R210" s="1">
        <v>19702.400000000001</v>
      </c>
      <c r="S210" s="1" t="s">
        <v>38</v>
      </c>
      <c r="T210" s="1" t="s">
        <v>118</v>
      </c>
      <c r="U210" s="1" t="s">
        <v>40</v>
      </c>
      <c r="V210" s="11">
        <v>3</v>
      </c>
      <c r="W210" s="18"/>
    </row>
    <row r="211" spans="1:23" x14ac:dyDescent="0.25">
      <c r="A211" s="2" t="s">
        <v>453</v>
      </c>
      <c r="B211" s="1" t="s">
        <v>116</v>
      </c>
      <c r="C211" s="8">
        <v>45754</v>
      </c>
      <c r="D211" s="1" t="s">
        <v>87</v>
      </c>
      <c r="E211" s="1" t="s">
        <v>87</v>
      </c>
      <c r="F211" s="1" t="s">
        <v>44</v>
      </c>
      <c r="G211" s="1">
        <v>31</v>
      </c>
      <c r="H211" s="1" t="s">
        <v>25</v>
      </c>
      <c r="I211" s="1" t="s">
        <v>45</v>
      </c>
      <c r="J211" s="1" t="s">
        <v>46</v>
      </c>
      <c r="K211" s="14">
        <v>2</v>
      </c>
      <c r="L211" s="1">
        <v>1394</v>
      </c>
      <c r="M211" s="1">
        <v>15</v>
      </c>
      <c r="N211" s="1">
        <f>Table1[[#This Row],[Discount]]/100</f>
        <v>0.15</v>
      </c>
      <c r="O211" s="1">
        <v>418.2</v>
      </c>
      <c r="P211" s="1">
        <v>2369.8000000000002</v>
      </c>
      <c r="Q211" s="1">
        <v>42</v>
      </c>
      <c r="R211" s="1">
        <v>2411.8000000000002</v>
      </c>
      <c r="S211" s="1" t="s">
        <v>38</v>
      </c>
      <c r="T211" s="1" t="s">
        <v>39</v>
      </c>
      <c r="U211" s="1" t="s">
        <v>30</v>
      </c>
      <c r="V211" s="11">
        <v>4</v>
      </c>
      <c r="W211" s="18">
        <v>4</v>
      </c>
    </row>
    <row r="212" spans="1:23" x14ac:dyDescent="0.25">
      <c r="A212" s="2" t="s">
        <v>454</v>
      </c>
      <c r="B212" s="1" t="s">
        <v>455</v>
      </c>
      <c r="C212" s="8">
        <v>45760</v>
      </c>
      <c r="D212" s="1" t="s">
        <v>120</v>
      </c>
      <c r="E212" s="1" t="s">
        <v>120</v>
      </c>
      <c r="F212" s="1" t="s">
        <v>44</v>
      </c>
      <c r="G212" s="1">
        <v>21</v>
      </c>
      <c r="H212" s="1" t="s">
        <v>50</v>
      </c>
      <c r="I212" s="1" t="s">
        <v>74</v>
      </c>
      <c r="J212" s="1" t="s">
        <v>137</v>
      </c>
      <c r="K212" s="14">
        <v>3</v>
      </c>
      <c r="L212" s="1">
        <v>3704</v>
      </c>
      <c r="M212" s="1">
        <v>0</v>
      </c>
      <c r="N212" s="1">
        <f>Table1[[#This Row],[Discount]]/100</f>
        <v>0</v>
      </c>
      <c r="O212" s="1">
        <v>0</v>
      </c>
      <c r="P212" s="1">
        <v>11112</v>
      </c>
      <c r="Q212" s="1">
        <v>244</v>
      </c>
      <c r="R212" s="1">
        <v>11356</v>
      </c>
      <c r="S212" s="1" t="s">
        <v>38</v>
      </c>
      <c r="T212" s="1" t="s">
        <v>29</v>
      </c>
      <c r="U212" s="1" t="s">
        <v>30</v>
      </c>
      <c r="V212" s="11">
        <v>7</v>
      </c>
      <c r="W212" s="18">
        <v>3.5</v>
      </c>
    </row>
    <row r="213" spans="1:23" x14ac:dyDescent="0.25">
      <c r="A213" s="2" t="s">
        <v>456</v>
      </c>
      <c r="B213" s="1" t="s">
        <v>457</v>
      </c>
      <c r="C213" s="8">
        <v>45900</v>
      </c>
      <c r="D213" s="1" t="s">
        <v>33</v>
      </c>
      <c r="E213" s="1" t="s">
        <v>33</v>
      </c>
      <c r="F213" s="1" t="s">
        <v>34</v>
      </c>
      <c r="G213" s="1">
        <v>53</v>
      </c>
      <c r="H213" s="1" t="s">
        <v>69</v>
      </c>
      <c r="I213" s="1" t="s">
        <v>88</v>
      </c>
      <c r="J213" s="1" t="s">
        <v>207</v>
      </c>
      <c r="K213" s="14">
        <v>4</v>
      </c>
      <c r="L213" s="1">
        <v>2329</v>
      </c>
      <c r="M213" s="1">
        <v>15</v>
      </c>
      <c r="N213" s="1">
        <f>Table1[[#This Row],[Discount]]/100</f>
        <v>0.15</v>
      </c>
      <c r="O213" s="1">
        <v>1397.4</v>
      </c>
      <c r="P213" s="1">
        <v>7918.6</v>
      </c>
      <c r="Q213" s="1">
        <v>65</v>
      </c>
      <c r="R213" s="1">
        <v>7983.6</v>
      </c>
      <c r="S213" s="1" t="s">
        <v>66</v>
      </c>
      <c r="T213" s="1" t="s">
        <v>29</v>
      </c>
      <c r="U213" s="1" t="s">
        <v>30</v>
      </c>
      <c r="V213" s="11">
        <v>5</v>
      </c>
      <c r="W213" s="18">
        <v>4</v>
      </c>
    </row>
    <row r="214" spans="1:23" x14ac:dyDescent="0.25">
      <c r="A214" s="2" t="s">
        <v>458</v>
      </c>
      <c r="B214" s="1" t="s">
        <v>331</v>
      </c>
      <c r="C214" s="8">
        <v>45795</v>
      </c>
      <c r="D214" s="1" t="s">
        <v>43</v>
      </c>
      <c r="E214" s="1" t="s">
        <v>43</v>
      </c>
      <c r="F214" s="1" t="s">
        <v>24</v>
      </c>
      <c r="G214" s="1">
        <v>44</v>
      </c>
      <c r="H214" s="1" t="s">
        <v>50</v>
      </c>
      <c r="I214" s="1" t="s">
        <v>88</v>
      </c>
      <c r="J214" s="1" t="s">
        <v>89</v>
      </c>
      <c r="K214" s="14">
        <v>4</v>
      </c>
      <c r="L214" s="1">
        <v>9675</v>
      </c>
      <c r="M214" s="1">
        <v>25</v>
      </c>
      <c r="N214" s="1">
        <f>Table1[[#This Row],[Discount]]/100</f>
        <v>0.25</v>
      </c>
      <c r="O214" s="1">
        <v>9675</v>
      </c>
      <c r="P214" s="1">
        <v>29025</v>
      </c>
      <c r="Q214" s="1">
        <v>72</v>
      </c>
      <c r="R214" s="1">
        <v>29097</v>
      </c>
      <c r="S214" s="1" t="s">
        <v>93</v>
      </c>
      <c r="T214" s="1" t="s">
        <v>39</v>
      </c>
      <c r="U214" s="1" t="s">
        <v>30</v>
      </c>
      <c r="V214" s="11">
        <v>6</v>
      </c>
      <c r="W214" s="18">
        <v>4.5</v>
      </c>
    </row>
    <row r="215" spans="1:23" x14ac:dyDescent="0.25">
      <c r="A215" s="2" t="s">
        <v>459</v>
      </c>
      <c r="B215" s="1" t="s">
        <v>324</v>
      </c>
      <c r="C215" s="8">
        <v>45787</v>
      </c>
      <c r="D215" s="1" t="s">
        <v>23</v>
      </c>
      <c r="E215" s="1" t="s">
        <v>23</v>
      </c>
      <c r="F215" s="1" t="s">
        <v>24</v>
      </c>
      <c r="G215" s="1">
        <v>47</v>
      </c>
      <c r="H215" s="1" t="s">
        <v>25</v>
      </c>
      <c r="I215" s="1" t="s">
        <v>74</v>
      </c>
      <c r="J215" s="1" t="s">
        <v>409</v>
      </c>
      <c r="K215" s="14">
        <v>1</v>
      </c>
      <c r="L215" s="1">
        <v>2467</v>
      </c>
      <c r="M215" s="1">
        <v>15</v>
      </c>
      <c r="N215" s="1">
        <f>Table1[[#This Row],[Discount]]/100</f>
        <v>0.15</v>
      </c>
      <c r="O215" s="1">
        <v>370.05</v>
      </c>
      <c r="P215" s="1">
        <v>2096.9499999999998</v>
      </c>
      <c r="Q215" s="1">
        <v>137</v>
      </c>
      <c r="R215" s="1">
        <v>2233.9499999999998</v>
      </c>
      <c r="S215" s="1" t="s">
        <v>52</v>
      </c>
      <c r="T215" s="1" t="s">
        <v>118</v>
      </c>
      <c r="U215" s="1" t="s">
        <v>53</v>
      </c>
      <c r="W215" s="18"/>
    </row>
    <row r="216" spans="1:23" x14ac:dyDescent="0.25">
      <c r="A216" s="2" t="s">
        <v>460</v>
      </c>
      <c r="B216" s="1" t="s">
        <v>451</v>
      </c>
      <c r="C216" s="8">
        <v>45985</v>
      </c>
      <c r="D216" s="1" t="s">
        <v>73</v>
      </c>
      <c r="E216" s="1" t="s">
        <v>73</v>
      </c>
      <c r="F216" s="1" t="s">
        <v>24</v>
      </c>
      <c r="G216" s="1">
        <v>35</v>
      </c>
      <c r="H216" s="1" t="s">
        <v>69</v>
      </c>
      <c r="I216" s="1" t="s">
        <v>26</v>
      </c>
      <c r="J216" s="1" t="s">
        <v>27</v>
      </c>
      <c r="K216" s="14">
        <v>5</v>
      </c>
      <c r="L216" s="1">
        <v>49851</v>
      </c>
      <c r="M216" s="1">
        <v>15</v>
      </c>
      <c r="N216" s="1">
        <f>Table1[[#This Row],[Discount]]/100</f>
        <v>0.15</v>
      </c>
      <c r="O216" s="1">
        <v>37388.25</v>
      </c>
      <c r="P216" s="1">
        <v>211866.75</v>
      </c>
      <c r="Q216" s="1">
        <v>90</v>
      </c>
      <c r="R216" s="1">
        <v>211956.75</v>
      </c>
      <c r="S216" s="1" t="s">
        <v>47</v>
      </c>
      <c r="T216" s="1" t="s">
        <v>39</v>
      </c>
      <c r="U216" s="1" t="s">
        <v>30</v>
      </c>
      <c r="V216" s="11">
        <v>3</v>
      </c>
      <c r="W216" s="18">
        <v>4</v>
      </c>
    </row>
    <row r="217" spans="1:23" x14ac:dyDescent="0.25">
      <c r="A217" s="2" t="s">
        <v>461</v>
      </c>
      <c r="B217" s="1" t="s">
        <v>462</v>
      </c>
      <c r="C217" s="8">
        <v>45790</v>
      </c>
      <c r="D217" s="1" t="s">
        <v>120</v>
      </c>
      <c r="E217" s="1" t="s">
        <v>120</v>
      </c>
      <c r="F217" s="1" t="s">
        <v>34</v>
      </c>
      <c r="G217" s="1">
        <v>43</v>
      </c>
      <c r="H217" s="1" t="s">
        <v>25</v>
      </c>
      <c r="I217" s="1" t="s">
        <v>74</v>
      </c>
      <c r="J217" s="1" t="s">
        <v>137</v>
      </c>
      <c r="K217" s="14">
        <v>5</v>
      </c>
      <c r="L217" s="1">
        <v>5811</v>
      </c>
      <c r="M217" s="1">
        <v>25</v>
      </c>
      <c r="N217" s="1">
        <f>Table1[[#This Row],[Discount]]/100</f>
        <v>0.25</v>
      </c>
      <c r="O217" s="1">
        <v>7263.75</v>
      </c>
      <c r="P217" s="1">
        <v>21791.25</v>
      </c>
      <c r="Q217" s="1">
        <v>95</v>
      </c>
      <c r="R217" s="1">
        <v>21886.25</v>
      </c>
      <c r="S217" s="1" t="s">
        <v>66</v>
      </c>
      <c r="T217" s="1" t="s">
        <v>29</v>
      </c>
      <c r="U217" s="1" t="s">
        <v>30</v>
      </c>
      <c r="V217" s="11">
        <v>4</v>
      </c>
      <c r="W217" s="18">
        <v>4</v>
      </c>
    </row>
    <row r="218" spans="1:23" x14ac:dyDescent="0.25">
      <c r="A218" s="2" t="s">
        <v>463</v>
      </c>
      <c r="B218" s="1" t="s">
        <v>464</v>
      </c>
      <c r="C218" s="8">
        <v>45943</v>
      </c>
      <c r="D218" s="1" t="s">
        <v>87</v>
      </c>
      <c r="E218" s="1" t="s">
        <v>87</v>
      </c>
      <c r="F218" s="1" t="s">
        <v>44</v>
      </c>
      <c r="G218" s="1">
        <v>36</v>
      </c>
      <c r="H218" s="1" t="s">
        <v>35</v>
      </c>
      <c r="I218" s="1" t="s">
        <v>74</v>
      </c>
      <c r="J218" s="1" t="s">
        <v>97</v>
      </c>
      <c r="K218" s="14">
        <v>2</v>
      </c>
      <c r="L218" s="1">
        <v>5629</v>
      </c>
      <c r="M218" s="1">
        <v>5</v>
      </c>
      <c r="N218" s="1">
        <f>Table1[[#This Row],[Discount]]/100</f>
        <v>0.05</v>
      </c>
      <c r="O218" s="1">
        <v>562.9</v>
      </c>
      <c r="P218" s="1">
        <v>10695.1</v>
      </c>
      <c r="Q218" s="1">
        <v>244</v>
      </c>
      <c r="R218" s="1">
        <v>10939.1</v>
      </c>
      <c r="S218" s="1" t="s">
        <v>66</v>
      </c>
      <c r="T218" s="1" t="s">
        <v>118</v>
      </c>
      <c r="U218" s="1" t="s">
        <v>53</v>
      </c>
      <c r="W218" s="18"/>
    </row>
    <row r="219" spans="1:23" x14ac:dyDescent="0.25">
      <c r="A219" s="2" t="s">
        <v>465</v>
      </c>
      <c r="B219" s="1" t="s">
        <v>466</v>
      </c>
      <c r="C219" s="8">
        <v>45827</v>
      </c>
      <c r="D219" s="1" t="s">
        <v>102</v>
      </c>
      <c r="E219" s="1" t="s">
        <v>103</v>
      </c>
      <c r="F219" s="1" t="s">
        <v>44</v>
      </c>
      <c r="G219" s="1">
        <v>34</v>
      </c>
      <c r="H219" s="1" t="s">
        <v>50</v>
      </c>
      <c r="I219" s="1" t="s">
        <v>58</v>
      </c>
      <c r="J219" s="1" t="s">
        <v>59</v>
      </c>
      <c r="K219" s="14">
        <v>3</v>
      </c>
      <c r="L219" s="1">
        <v>3198</v>
      </c>
      <c r="M219" s="1">
        <v>10</v>
      </c>
      <c r="N219" s="1">
        <f>Table1[[#This Row],[Discount]]/100</f>
        <v>0.1</v>
      </c>
      <c r="O219" s="1">
        <v>959.4</v>
      </c>
      <c r="P219" s="1">
        <v>8634.6</v>
      </c>
      <c r="Q219" s="1">
        <v>247</v>
      </c>
      <c r="R219" s="1">
        <v>8881.6</v>
      </c>
      <c r="S219" s="1" t="s">
        <v>93</v>
      </c>
      <c r="T219" s="1" t="s">
        <v>39</v>
      </c>
      <c r="U219" s="1" t="s">
        <v>30</v>
      </c>
      <c r="V219" s="11">
        <v>3</v>
      </c>
      <c r="W219" s="18">
        <v>4.5</v>
      </c>
    </row>
    <row r="220" spans="1:23" x14ac:dyDescent="0.25">
      <c r="A220" s="2" t="s">
        <v>467</v>
      </c>
      <c r="B220" s="1" t="s">
        <v>287</v>
      </c>
      <c r="C220" s="8">
        <v>45869</v>
      </c>
      <c r="D220" s="1" t="s">
        <v>87</v>
      </c>
      <c r="E220" s="1" t="s">
        <v>87</v>
      </c>
      <c r="F220" s="1" t="s">
        <v>44</v>
      </c>
      <c r="G220" s="1">
        <v>27</v>
      </c>
      <c r="H220" s="1" t="s">
        <v>57</v>
      </c>
      <c r="I220" s="1" t="s">
        <v>36</v>
      </c>
      <c r="J220" s="1" t="s">
        <v>37</v>
      </c>
      <c r="K220" s="14">
        <v>5</v>
      </c>
      <c r="L220" s="1">
        <v>7506</v>
      </c>
      <c r="M220" s="1">
        <v>25</v>
      </c>
      <c r="N220" s="1">
        <f>Table1[[#This Row],[Discount]]/100</f>
        <v>0.25</v>
      </c>
      <c r="O220" s="1">
        <v>9382.5</v>
      </c>
      <c r="P220" s="1">
        <v>28147.5</v>
      </c>
      <c r="Q220" s="1">
        <v>96</v>
      </c>
      <c r="R220" s="1">
        <v>28243.5</v>
      </c>
      <c r="S220" s="1" t="s">
        <v>52</v>
      </c>
      <c r="T220" s="1" t="s">
        <v>118</v>
      </c>
      <c r="U220" s="1" t="s">
        <v>30</v>
      </c>
      <c r="V220" s="11">
        <v>1</v>
      </c>
      <c r="W220" s="18">
        <v>3.5</v>
      </c>
    </row>
    <row r="221" spans="1:23" x14ac:dyDescent="0.25">
      <c r="A221" s="2" t="s">
        <v>468</v>
      </c>
      <c r="B221" s="1" t="s">
        <v>224</v>
      </c>
      <c r="C221" s="8">
        <v>45744</v>
      </c>
      <c r="D221" s="1" t="s">
        <v>56</v>
      </c>
      <c r="E221" s="1" t="s">
        <v>56</v>
      </c>
      <c r="F221" s="1" t="s">
        <v>34</v>
      </c>
      <c r="G221" s="1">
        <v>28</v>
      </c>
      <c r="H221" s="1" t="s">
        <v>35</v>
      </c>
      <c r="I221" s="1" t="s">
        <v>88</v>
      </c>
      <c r="J221" s="1" t="s">
        <v>213</v>
      </c>
      <c r="K221" s="14">
        <v>1</v>
      </c>
      <c r="L221" s="1">
        <v>3197</v>
      </c>
      <c r="M221" s="1">
        <v>0</v>
      </c>
      <c r="N221" s="1">
        <f>Table1[[#This Row],[Discount]]/100</f>
        <v>0</v>
      </c>
      <c r="O221" s="1">
        <v>0</v>
      </c>
      <c r="P221" s="1">
        <v>3197</v>
      </c>
      <c r="Q221" s="1">
        <v>73</v>
      </c>
      <c r="R221" s="1">
        <v>3270</v>
      </c>
      <c r="S221" s="1" t="s">
        <v>52</v>
      </c>
      <c r="T221" s="1" t="s">
        <v>118</v>
      </c>
      <c r="U221" s="1" t="s">
        <v>30</v>
      </c>
      <c r="V221" s="11">
        <v>5</v>
      </c>
      <c r="W221" s="18">
        <v>4</v>
      </c>
    </row>
    <row r="222" spans="1:23" x14ac:dyDescent="0.25">
      <c r="A222" s="2" t="s">
        <v>469</v>
      </c>
      <c r="B222" s="1" t="s">
        <v>470</v>
      </c>
      <c r="C222" s="8">
        <v>45822</v>
      </c>
      <c r="D222" s="1" t="s">
        <v>23</v>
      </c>
      <c r="E222" s="1" t="s">
        <v>23</v>
      </c>
      <c r="F222" s="1" t="s">
        <v>24</v>
      </c>
      <c r="G222" s="1">
        <v>51</v>
      </c>
      <c r="H222" s="1" t="s">
        <v>50</v>
      </c>
      <c r="I222" s="1" t="s">
        <v>45</v>
      </c>
      <c r="J222" s="1" t="s">
        <v>146</v>
      </c>
      <c r="K222" s="14">
        <v>4</v>
      </c>
      <c r="L222" s="1">
        <v>234</v>
      </c>
      <c r="M222" s="1">
        <v>25</v>
      </c>
      <c r="N222" s="1">
        <f>Table1[[#This Row],[Discount]]/100</f>
        <v>0.25</v>
      </c>
      <c r="O222" s="1">
        <v>234</v>
      </c>
      <c r="P222" s="1">
        <v>702</v>
      </c>
      <c r="Q222" s="1">
        <v>23</v>
      </c>
      <c r="R222" s="1">
        <v>725</v>
      </c>
      <c r="S222" s="1" t="s">
        <v>66</v>
      </c>
      <c r="T222" s="1" t="s">
        <v>29</v>
      </c>
      <c r="U222" s="1" t="s">
        <v>30</v>
      </c>
      <c r="V222" s="11">
        <v>7</v>
      </c>
      <c r="W222" s="18">
        <v>3.5</v>
      </c>
    </row>
    <row r="223" spans="1:23" x14ac:dyDescent="0.25">
      <c r="A223" s="2" t="s">
        <v>471</v>
      </c>
      <c r="B223" s="1" t="s">
        <v>449</v>
      </c>
      <c r="C223" s="8">
        <v>45810</v>
      </c>
      <c r="D223" s="1" t="s">
        <v>33</v>
      </c>
      <c r="E223" s="1" t="s">
        <v>33</v>
      </c>
      <c r="F223" s="1" t="s">
        <v>24</v>
      </c>
      <c r="G223" s="1">
        <v>47</v>
      </c>
      <c r="H223" s="1" t="s">
        <v>25</v>
      </c>
      <c r="I223" s="1" t="s">
        <v>74</v>
      </c>
      <c r="J223" s="1" t="s">
        <v>97</v>
      </c>
      <c r="K223" s="14">
        <v>3</v>
      </c>
      <c r="L223" s="1">
        <v>1241</v>
      </c>
      <c r="M223" s="1">
        <v>5</v>
      </c>
      <c r="N223" s="1">
        <f>Table1[[#This Row],[Discount]]/100</f>
        <v>0.05</v>
      </c>
      <c r="O223" s="1">
        <v>186.15</v>
      </c>
      <c r="P223" s="1">
        <v>3536.85</v>
      </c>
      <c r="Q223" s="1">
        <v>31</v>
      </c>
      <c r="R223" s="1">
        <v>3567.85</v>
      </c>
      <c r="S223" s="1" t="s">
        <v>38</v>
      </c>
      <c r="T223" s="1" t="s">
        <v>118</v>
      </c>
      <c r="U223" s="1" t="s">
        <v>30</v>
      </c>
      <c r="V223" s="11">
        <v>3</v>
      </c>
      <c r="W223" s="18">
        <v>5</v>
      </c>
    </row>
    <row r="224" spans="1:23" x14ac:dyDescent="0.25">
      <c r="A224" s="2" t="s">
        <v>472</v>
      </c>
      <c r="B224" s="1" t="s">
        <v>68</v>
      </c>
      <c r="C224" s="8">
        <v>45725</v>
      </c>
      <c r="D224" s="1" t="s">
        <v>107</v>
      </c>
      <c r="E224" s="1" t="s">
        <v>107</v>
      </c>
      <c r="F224" s="1" t="s">
        <v>34</v>
      </c>
      <c r="G224" s="1">
        <v>19</v>
      </c>
      <c r="H224" s="1" t="s">
        <v>50</v>
      </c>
      <c r="I224" s="1" t="s">
        <v>36</v>
      </c>
      <c r="J224" s="1" t="s">
        <v>159</v>
      </c>
      <c r="K224" s="14">
        <v>3</v>
      </c>
      <c r="L224" s="1">
        <v>7921</v>
      </c>
      <c r="M224" s="1">
        <v>15</v>
      </c>
      <c r="N224" s="1">
        <f>Table1[[#This Row],[Discount]]/100</f>
        <v>0.15</v>
      </c>
      <c r="O224" s="1">
        <v>3564.45</v>
      </c>
      <c r="P224" s="1">
        <v>20198.55</v>
      </c>
      <c r="Q224" s="1">
        <v>77</v>
      </c>
      <c r="R224" s="1">
        <v>20275.55</v>
      </c>
      <c r="S224" s="1" t="s">
        <v>38</v>
      </c>
      <c r="T224" s="1" t="s">
        <v>29</v>
      </c>
      <c r="U224" s="1" t="s">
        <v>30</v>
      </c>
      <c r="V224" s="11">
        <v>2</v>
      </c>
      <c r="W224" s="18">
        <v>4.5</v>
      </c>
    </row>
    <row r="225" spans="1:23" x14ac:dyDescent="0.25">
      <c r="A225" s="2" t="s">
        <v>473</v>
      </c>
      <c r="B225" s="1" t="s">
        <v>396</v>
      </c>
      <c r="C225" s="8">
        <v>46011</v>
      </c>
      <c r="D225" s="1" t="s">
        <v>23</v>
      </c>
      <c r="E225" s="1" t="s">
        <v>23</v>
      </c>
      <c r="F225" s="1" t="s">
        <v>44</v>
      </c>
      <c r="G225" s="1">
        <v>44</v>
      </c>
      <c r="H225" s="1" t="s">
        <v>50</v>
      </c>
      <c r="I225" s="1" t="s">
        <v>26</v>
      </c>
      <c r="J225" s="1" t="s">
        <v>283</v>
      </c>
      <c r="K225" s="14">
        <v>3</v>
      </c>
      <c r="L225" s="1">
        <v>70888</v>
      </c>
      <c r="M225" s="1">
        <v>25</v>
      </c>
      <c r="N225" s="1">
        <f>Table1[[#This Row],[Discount]]/100</f>
        <v>0.25</v>
      </c>
      <c r="O225" s="1">
        <v>53166</v>
      </c>
      <c r="P225" s="1">
        <v>159498</v>
      </c>
      <c r="Q225" s="1">
        <v>32</v>
      </c>
      <c r="R225" s="1">
        <v>159530</v>
      </c>
      <c r="S225" s="1" t="s">
        <v>52</v>
      </c>
      <c r="T225" s="1" t="s">
        <v>118</v>
      </c>
      <c r="U225" s="1" t="s">
        <v>53</v>
      </c>
      <c r="W225" s="18"/>
    </row>
    <row r="226" spans="1:23" x14ac:dyDescent="0.25">
      <c r="A226" s="2" t="s">
        <v>474</v>
      </c>
      <c r="B226" s="1" t="s">
        <v>475</v>
      </c>
      <c r="C226" s="8">
        <v>45728</v>
      </c>
      <c r="D226" s="1" t="s">
        <v>78</v>
      </c>
      <c r="E226" s="1" t="s">
        <v>78</v>
      </c>
      <c r="F226" s="1" t="s">
        <v>24</v>
      </c>
      <c r="G226" s="1">
        <v>24</v>
      </c>
      <c r="H226" s="1" t="s">
        <v>25</v>
      </c>
      <c r="I226" s="1" t="s">
        <v>36</v>
      </c>
      <c r="J226" s="1" t="s">
        <v>159</v>
      </c>
      <c r="K226" s="14">
        <v>2</v>
      </c>
      <c r="L226" s="1">
        <v>4662</v>
      </c>
      <c r="M226" s="1">
        <v>10</v>
      </c>
      <c r="N226" s="1">
        <f>Table1[[#This Row],[Discount]]/100</f>
        <v>0.1</v>
      </c>
      <c r="O226" s="1">
        <v>932.4</v>
      </c>
      <c r="P226" s="1">
        <v>8391.6</v>
      </c>
      <c r="Q226" s="1">
        <v>199</v>
      </c>
      <c r="R226" s="1">
        <v>8590.6</v>
      </c>
      <c r="S226" s="1" t="s">
        <v>28</v>
      </c>
      <c r="T226" s="1" t="s">
        <v>118</v>
      </c>
      <c r="U226" s="1" t="s">
        <v>40</v>
      </c>
      <c r="V226" s="11">
        <v>4</v>
      </c>
      <c r="W226" s="18"/>
    </row>
    <row r="227" spans="1:23" x14ac:dyDescent="0.25">
      <c r="A227" s="2" t="s">
        <v>476</v>
      </c>
      <c r="B227" s="1" t="s">
        <v>193</v>
      </c>
      <c r="C227" s="8">
        <v>45938</v>
      </c>
      <c r="D227" s="1" t="s">
        <v>43</v>
      </c>
      <c r="E227" s="1" t="s">
        <v>43</v>
      </c>
      <c r="F227" s="1" t="s">
        <v>44</v>
      </c>
      <c r="G227" s="1">
        <v>31</v>
      </c>
      <c r="H227" s="1" t="s">
        <v>69</v>
      </c>
      <c r="I227" s="1" t="s">
        <v>26</v>
      </c>
      <c r="J227" s="1" t="s">
        <v>283</v>
      </c>
      <c r="K227" s="14">
        <v>2</v>
      </c>
      <c r="L227" s="1">
        <v>26981</v>
      </c>
      <c r="M227" s="1">
        <v>15</v>
      </c>
      <c r="N227" s="1">
        <f>Table1[[#This Row],[Discount]]/100</f>
        <v>0.15</v>
      </c>
      <c r="O227" s="1">
        <v>8094.3</v>
      </c>
      <c r="P227" s="1">
        <v>45867.7</v>
      </c>
      <c r="Q227" s="1">
        <v>30</v>
      </c>
      <c r="R227" s="1">
        <v>45897.7</v>
      </c>
      <c r="S227" s="1" t="s">
        <v>47</v>
      </c>
      <c r="T227" s="1" t="s">
        <v>39</v>
      </c>
      <c r="U227" s="1" t="s">
        <v>30</v>
      </c>
      <c r="V227" s="11">
        <v>4</v>
      </c>
      <c r="W227" s="18">
        <v>5</v>
      </c>
    </row>
    <row r="228" spans="1:23" x14ac:dyDescent="0.25">
      <c r="A228" s="2" t="s">
        <v>477</v>
      </c>
      <c r="B228" s="1" t="s">
        <v>106</v>
      </c>
      <c r="C228" s="8">
        <v>45987</v>
      </c>
      <c r="D228" s="1" t="s">
        <v>153</v>
      </c>
      <c r="E228" s="1" t="s">
        <v>153</v>
      </c>
      <c r="F228" s="1" t="s">
        <v>44</v>
      </c>
      <c r="G228" s="1">
        <v>47</v>
      </c>
      <c r="H228" s="1" t="s">
        <v>50</v>
      </c>
      <c r="I228" s="1" t="s">
        <v>36</v>
      </c>
      <c r="J228" s="1" t="s">
        <v>177</v>
      </c>
      <c r="K228" s="14">
        <v>1</v>
      </c>
      <c r="L228" s="1">
        <v>6327</v>
      </c>
      <c r="M228" s="1">
        <v>25</v>
      </c>
      <c r="N228" s="1">
        <f>Table1[[#This Row],[Discount]]/100</f>
        <v>0.25</v>
      </c>
      <c r="O228" s="1">
        <v>1581.75</v>
      </c>
      <c r="P228" s="1">
        <v>4745.25</v>
      </c>
      <c r="Q228" s="1">
        <v>85</v>
      </c>
      <c r="R228" s="1">
        <v>4830.25</v>
      </c>
      <c r="S228" s="1" t="s">
        <v>28</v>
      </c>
      <c r="T228" s="1" t="s">
        <v>39</v>
      </c>
      <c r="U228" s="1" t="s">
        <v>30</v>
      </c>
      <c r="V228" s="11">
        <v>2</v>
      </c>
      <c r="W228" s="18">
        <v>4</v>
      </c>
    </row>
    <row r="229" spans="1:23" x14ac:dyDescent="0.25">
      <c r="A229" s="2" t="s">
        <v>478</v>
      </c>
      <c r="B229" s="1" t="s">
        <v>358</v>
      </c>
      <c r="C229" s="8">
        <v>45997</v>
      </c>
      <c r="D229" s="1" t="s">
        <v>87</v>
      </c>
      <c r="E229" s="1" t="s">
        <v>87</v>
      </c>
      <c r="F229" s="1" t="s">
        <v>44</v>
      </c>
      <c r="G229" s="1">
        <v>28</v>
      </c>
      <c r="H229" s="1" t="s">
        <v>25</v>
      </c>
      <c r="I229" s="1" t="s">
        <v>26</v>
      </c>
      <c r="J229" s="1" t="s">
        <v>198</v>
      </c>
      <c r="K229" s="14">
        <v>3</v>
      </c>
      <c r="L229" s="1">
        <v>41787</v>
      </c>
      <c r="M229" s="1">
        <v>0</v>
      </c>
      <c r="N229" s="1">
        <f>Table1[[#This Row],[Discount]]/100</f>
        <v>0</v>
      </c>
      <c r="O229" s="1">
        <v>0</v>
      </c>
      <c r="P229" s="1">
        <v>125361</v>
      </c>
      <c r="Q229" s="1">
        <v>55</v>
      </c>
      <c r="R229" s="1">
        <v>125416</v>
      </c>
      <c r="S229" s="1" t="s">
        <v>38</v>
      </c>
      <c r="T229" s="1" t="s">
        <v>29</v>
      </c>
      <c r="U229" s="1" t="s">
        <v>30</v>
      </c>
      <c r="V229" s="11">
        <v>6</v>
      </c>
      <c r="W229" s="18">
        <v>4</v>
      </c>
    </row>
    <row r="230" spans="1:23" x14ac:dyDescent="0.25">
      <c r="A230" s="2" t="s">
        <v>479</v>
      </c>
      <c r="B230" s="1" t="s">
        <v>242</v>
      </c>
      <c r="C230" s="8">
        <v>45873</v>
      </c>
      <c r="D230" s="1" t="s">
        <v>43</v>
      </c>
      <c r="E230" s="1" t="s">
        <v>43</v>
      </c>
      <c r="F230" s="1" t="s">
        <v>34</v>
      </c>
      <c r="G230" s="1">
        <v>28</v>
      </c>
      <c r="H230" s="1" t="s">
        <v>50</v>
      </c>
      <c r="I230" s="1" t="s">
        <v>88</v>
      </c>
      <c r="J230" s="1" t="s">
        <v>207</v>
      </c>
      <c r="K230" s="14">
        <v>2</v>
      </c>
      <c r="L230" s="1">
        <v>6857</v>
      </c>
      <c r="M230" s="1">
        <v>15</v>
      </c>
      <c r="N230" s="1">
        <f>Table1[[#This Row],[Discount]]/100</f>
        <v>0.15</v>
      </c>
      <c r="O230" s="1">
        <v>2057.1</v>
      </c>
      <c r="P230" s="1">
        <v>11656.9</v>
      </c>
      <c r="Q230" s="1">
        <v>142</v>
      </c>
      <c r="R230" s="1">
        <v>11798.9</v>
      </c>
      <c r="S230" s="1" t="s">
        <v>47</v>
      </c>
      <c r="T230" s="1" t="s">
        <v>39</v>
      </c>
      <c r="U230" s="1" t="s">
        <v>40</v>
      </c>
      <c r="V230" s="11">
        <v>6</v>
      </c>
      <c r="W230" s="18"/>
    </row>
    <row r="231" spans="1:23" x14ac:dyDescent="0.25">
      <c r="A231" s="2" t="s">
        <v>480</v>
      </c>
      <c r="B231" s="1" t="s">
        <v>242</v>
      </c>
      <c r="C231" s="8">
        <v>45724</v>
      </c>
      <c r="D231" s="1" t="s">
        <v>96</v>
      </c>
      <c r="E231" s="1" t="s">
        <v>96</v>
      </c>
      <c r="F231" s="1" t="s">
        <v>44</v>
      </c>
      <c r="G231" s="1">
        <v>49</v>
      </c>
      <c r="H231" s="1" t="s">
        <v>57</v>
      </c>
      <c r="I231" s="1" t="s">
        <v>58</v>
      </c>
      <c r="J231" s="1" t="s">
        <v>65</v>
      </c>
      <c r="K231" s="14">
        <v>5</v>
      </c>
      <c r="L231" s="1">
        <v>2654</v>
      </c>
      <c r="M231" s="1">
        <v>25</v>
      </c>
      <c r="N231" s="1">
        <f>Table1[[#This Row],[Discount]]/100</f>
        <v>0.25</v>
      </c>
      <c r="O231" s="1">
        <v>3317.5</v>
      </c>
      <c r="P231" s="1">
        <v>9952.5</v>
      </c>
      <c r="Q231" s="1">
        <v>206</v>
      </c>
      <c r="R231" s="1">
        <v>10158.5</v>
      </c>
      <c r="S231" s="1" t="s">
        <v>28</v>
      </c>
      <c r="T231" s="1" t="s">
        <v>39</v>
      </c>
      <c r="U231" s="1" t="s">
        <v>80</v>
      </c>
      <c r="W231" s="18"/>
    </row>
    <row r="232" spans="1:23" x14ac:dyDescent="0.25">
      <c r="A232" s="2" t="s">
        <v>481</v>
      </c>
      <c r="B232" s="1" t="s">
        <v>181</v>
      </c>
      <c r="C232" s="8">
        <v>46016</v>
      </c>
      <c r="D232" s="1" t="s">
        <v>110</v>
      </c>
      <c r="E232" s="1" t="s">
        <v>110</v>
      </c>
      <c r="F232" s="1" t="s">
        <v>24</v>
      </c>
      <c r="G232" s="1">
        <v>24</v>
      </c>
      <c r="H232" s="1" t="s">
        <v>35</v>
      </c>
      <c r="I232" s="1" t="s">
        <v>36</v>
      </c>
      <c r="J232" s="1" t="s">
        <v>156</v>
      </c>
      <c r="K232" s="14">
        <v>1</v>
      </c>
      <c r="L232" s="1">
        <v>7552</v>
      </c>
      <c r="M232" s="1">
        <v>10</v>
      </c>
      <c r="N232" s="1">
        <f>Table1[[#This Row],[Discount]]/100</f>
        <v>0.1</v>
      </c>
      <c r="O232" s="1">
        <v>755.2</v>
      </c>
      <c r="P232" s="1">
        <v>6796.8</v>
      </c>
      <c r="Q232" s="1">
        <v>196</v>
      </c>
      <c r="R232" s="1">
        <v>6992.8</v>
      </c>
      <c r="S232" s="1" t="s">
        <v>93</v>
      </c>
      <c r="T232" s="1" t="s">
        <v>118</v>
      </c>
      <c r="U232" s="1" t="s">
        <v>30</v>
      </c>
      <c r="V232" s="11">
        <v>5</v>
      </c>
      <c r="W232" s="18">
        <v>4</v>
      </c>
    </row>
    <row r="233" spans="1:23" x14ac:dyDescent="0.25">
      <c r="A233" s="2" t="s">
        <v>482</v>
      </c>
      <c r="B233" s="1" t="s">
        <v>179</v>
      </c>
      <c r="C233" s="8">
        <v>45911</v>
      </c>
      <c r="D233" s="1" t="s">
        <v>23</v>
      </c>
      <c r="E233" s="1" t="s">
        <v>23</v>
      </c>
      <c r="F233" s="1" t="s">
        <v>44</v>
      </c>
      <c r="G233" s="1">
        <v>28</v>
      </c>
      <c r="H233" s="1" t="s">
        <v>69</v>
      </c>
      <c r="I233" s="1" t="s">
        <v>36</v>
      </c>
      <c r="J233" s="1" t="s">
        <v>92</v>
      </c>
      <c r="K233" s="14">
        <v>2</v>
      </c>
      <c r="L233" s="1">
        <v>1685</v>
      </c>
      <c r="M233" s="1">
        <v>20</v>
      </c>
      <c r="N233" s="1">
        <f>Table1[[#This Row],[Discount]]/100</f>
        <v>0.2</v>
      </c>
      <c r="O233" s="1">
        <v>674</v>
      </c>
      <c r="P233" s="1">
        <v>2696</v>
      </c>
      <c r="Q233" s="1">
        <v>238</v>
      </c>
      <c r="R233" s="1">
        <v>2934</v>
      </c>
      <c r="S233" s="1" t="s">
        <v>47</v>
      </c>
      <c r="T233" s="1" t="s">
        <v>118</v>
      </c>
      <c r="U233" s="1" t="s">
        <v>53</v>
      </c>
      <c r="W233" s="18"/>
    </row>
    <row r="234" spans="1:23" x14ac:dyDescent="0.25">
      <c r="A234" s="2" t="s">
        <v>483</v>
      </c>
      <c r="B234" s="1" t="s">
        <v>368</v>
      </c>
      <c r="C234" s="8">
        <v>45951</v>
      </c>
      <c r="D234" s="1" t="s">
        <v>110</v>
      </c>
      <c r="E234" s="1" t="s">
        <v>110</v>
      </c>
      <c r="F234" s="1" t="s">
        <v>44</v>
      </c>
      <c r="G234" s="1">
        <v>23</v>
      </c>
      <c r="H234" s="1" t="s">
        <v>50</v>
      </c>
      <c r="I234" s="1" t="s">
        <v>26</v>
      </c>
      <c r="J234" s="1" t="s">
        <v>79</v>
      </c>
      <c r="K234" s="14">
        <v>2</v>
      </c>
      <c r="L234" s="1">
        <v>72954</v>
      </c>
      <c r="M234" s="1">
        <v>0</v>
      </c>
      <c r="N234" s="1">
        <f>Table1[[#This Row],[Discount]]/100</f>
        <v>0</v>
      </c>
      <c r="O234" s="1">
        <v>0</v>
      </c>
      <c r="P234" s="1">
        <v>145908</v>
      </c>
      <c r="Q234" s="1">
        <v>225</v>
      </c>
      <c r="R234" s="1">
        <v>146133</v>
      </c>
      <c r="S234" s="1" t="s">
        <v>93</v>
      </c>
      <c r="T234" s="1" t="s">
        <v>29</v>
      </c>
      <c r="U234" s="1" t="s">
        <v>30</v>
      </c>
      <c r="V234" s="11">
        <v>4</v>
      </c>
      <c r="W234" s="18">
        <v>4</v>
      </c>
    </row>
    <row r="235" spans="1:23" x14ac:dyDescent="0.25">
      <c r="A235" s="2" t="s">
        <v>484</v>
      </c>
      <c r="B235" s="1" t="s">
        <v>485</v>
      </c>
      <c r="C235" s="8">
        <v>45984</v>
      </c>
      <c r="D235" s="1" t="s">
        <v>23</v>
      </c>
      <c r="E235" s="1" t="s">
        <v>23</v>
      </c>
      <c r="F235" s="1" t="s">
        <v>34</v>
      </c>
      <c r="G235" s="1">
        <v>50</v>
      </c>
      <c r="H235" s="1" t="s">
        <v>57</v>
      </c>
      <c r="I235" s="1" t="s">
        <v>26</v>
      </c>
      <c r="J235" s="1" t="s">
        <v>27</v>
      </c>
      <c r="K235" s="14">
        <v>4</v>
      </c>
      <c r="L235" s="1">
        <v>54846</v>
      </c>
      <c r="M235" s="1">
        <v>0</v>
      </c>
      <c r="N235" s="1">
        <f>Table1[[#This Row],[Discount]]/100</f>
        <v>0</v>
      </c>
      <c r="O235" s="1">
        <v>0</v>
      </c>
      <c r="P235" s="1">
        <v>219384</v>
      </c>
      <c r="Q235" s="1">
        <v>178</v>
      </c>
      <c r="R235" s="1">
        <v>219562</v>
      </c>
      <c r="S235" s="1" t="s">
        <v>38</v>
      </c>
      <c r="T235" s="1" t="s">
        <v>118</v>
      </c>
      <c r="U235" s="1" t="s">
        <v>53</v>
      </c>
      <c r="W235" s="18"/>
    </row>
    <row r="236" spans="1:23" x14ac:dyDescent="0.25">
      <c r="A236" s="2" t="s">
        <v>486</v>
      </c>
      <c r="B236" s="1" t="s">
        <v>487</v>
      </c>
      <c r="C236" s="8">
        <v>45771</v>
      </c>
      <c r="D236" s="1" t="s">
        <v>87</v>
      </c>
      <c r="E236" s="1" t="s">
        <v>87</v>
      </c>
      <c r="F236" s="1" t="s">
        <v>24</v>
      </c>
      <c r="G236" s="1">
        <v>39</v>
      </c>
      <c r="H236" s="1" t="s">
        <v>69</v>
      </c>
      <c r="I236" s="1" t="s">
        <v>26</v>
      </c>
      <c r="J236" s="1" t="s">
        <v>51</v>
      </c>
      <c r="K236" s="14">
        <v>4</v>
      </c>
      <c r="L236" s="1">
        <v>44312</v>
      </c>
      <c r="M236" s="1">
        <v>0</v>
      </c>
      <c r="N236" s="1">
        <f>Table1[[#This Row],[Discount]]/100</f>
        <v>0</v>
      </c>
      <c r="O236" s="1">
        <v>0</v>
      </c>
      <c r="P236" s="1">
        <v>177248</v>
      </c>
      <c r="Q236" s="1">
        <v>188</v>
      </c>
      <c r="R236" s="1">
        <v>177436</v>
      </c>
      <c r="S236" s="1" t="s">
        <v>52</v>
      </c>
      <c r="T236" s="1" t="s">
        <v>29</v>
      </c>
      <c r="U236" s="1" t="s">
        <v>30</v>
      </c>
      <c r="V236" s="11">
        <v>1</v>
      </c>
      <c r="W236" s="18">
        <v>4</v>
      </c>
    </row>
    <row r="237" spans="1:23" x14ac:dyDescent="0.25">
      <c r="A237" s="2" t="s">
        <v>488</v>
      </c>
      <c r="B237" s="1" t="s">
        <v>282</v>
      </c>
      <c r="C237" s="8">
        <v>45859</v>
      </c>
      <c r="D237" s="1" t="s">
        <v>83</v>
      </c>
      <c r="E237" s="1" t="s">
        <v>83</v>
      </c>
      <c r="F237" s="1" t="s">
        <v>44</v>
      </c>
      <c r="G237" s="1">
        <v>47</v>
      </c>
      <c r="H237" s="1" t="s">
        <v>50</v>
      </c>
      <c r="I237" s="1" t="s">
        <v>36</v>
      </c>
      <c r="J237" s="1" t="s">
        <v>177</v>
      </c>
      <c r="K237" s="14">
        <v>1</v>
      </c>
      <c r="L237" s="1">
        <v>2483</v>
      </c>
      <c r="M237" s="1">
        <v>20</v>
      </c>
      <c r="N237" s="1">
        <f>Table1[[#This Row],[Discount]]/100</f>
        <v>0.2</v>
      </c>
      <c r="O237" s="1">
        <v>496.6</v>
      </c>
      <c r="P237" s="1">
        <v>1986.4</v>
      </c>
      <c r="Q237" s="1">
        <v>50</v>
      </c>
      <c r="R237" s="1">
        <v>2036.4</v>
      </c>
      <c r="S237" s="1" t="s">
        <v>93</v>
      </c>
      <c r="T237" s="1" t="s">
        <v>39</v>
      </c>
      <c r="U237" s="1" t="s">
        <v>30</v>
      </c>
      <c r="V237" s="11">
        <v>2</v>
      </c>
      <c r="W237" s="18">
        <v>3.5</v>
      </c>
    </row>
    <row r="238" spans="1:23" x14ac:dyDescent="0.25">
      <c r="A238" s="2" t="s">
        <v>489</v>
      </c>
      <c r="B238" s="1" t="s">
        <v>441</v>
      </c>
      <c r="C238" s="8">
        <v>45941</v>
      </c>
      <c r="D238" s="1" t="s">
        <v>107</v>
      </c>
      <c r="E238" s="1" t="s">
        <v>107</v>
      </c>
      <c r="F238" s="1" t="s">
        <v>24</v>
      </c>
      <c r="G238" s="1">
        <v>55</v>
      </c>
      <c r="H238" s="1" t="s">
        <v>35</v>
      </c>
      <c r="I238" s="1" t="s">
        <v>36</v>
      </c>
      <c r="J238" s="1" t="s">
        <v>37</v>
      </c>
      <c r="K238" s="14">
        <v>1</v>
      </c>
      <c r="L238" s="1">
        <v>4486</v>
      </c>
      <c r="M238" s="1">
        <v>0</v>
      </c>
      <c r="N238" s="1">
        <f>Table1[[#This Row],[Discount]]/100</f>
        <v>0</v>
      </c>
      <c r="O238" s="1">
        <v>0</v>
      </c>
      <c r="P238" s="1">
        <v>4486</v>
      </c>
      <c r="Q238" s="1">
        <v>32</v>
      </c>
      <c r="R238" s="1">
        <v>4518</v>
      </c>
      <c r="S238" s="1" t="s">
        <v>66</v>
      </c>
      <c r="T238" s="1" t="s">
        <v>29</v>
      </c>
      <c r="U238" s="1" t="s">
        <v>30</v>
      </c>
      <c r="V238" s="11">
        <v>4</v>
      </c>
      <c r="W238" s="18">
        <v>4</v>
      </c>
    </row>
    <row r="239" spans="1:23" x14ac:dyDescent="0.25">
      <c r="A239" s="2" t="s">
        <v>490</v>
      </c>
      <c r="B239" s="1" t="s">
        <v>301</v>
      </c>
      <c r="C239" s="8">
        <v>45785</v>
      </c>
      <c r="D239" s="1" t="s">
        <v>56</v>
      </c>
      <c r="E239" s="1" t="s">
        <v>56</v>
      </c>
      <c r="F239" s="1" t="s">
        <v>44</v>
      </c>
      <c r="G239" s="1">
        <v>43</v>
      </c>
      <c r="H239" s="1" t="s">
        <v>69</v>
      </c>
      <c r="I239" s="1" t="s">
        <v>36</v>
      </c>
      <c r="J239" s="1" t="s">
        <v>159</v>
      </c>
      <c r="K239" s="14">
        <v>1</v>
      </c>
      <c r="L239" s="1">
        <v>3551</v>
      </c>
      <c r="M239" s="1">
        <v>15</v>
      </c>
      <c r="N239" s="1">
        <f>Table1[[#This Row],[Discount]]/100</f>
        <v>0.15</v>
      </c>
      <c r="O239" s="1">
        <v>532.65</v>
      </c>
      <c r="P239" s="1">
        <v>3018.35</v>
      </c>
      <c r="Q239" s="1">
        <v>197</v>
      </c>
      <c r="R239" s="1">
        <v>3215.35</v>
      </c>
      <c r="S239" s="1" t="s">
        <v>93</v>
      </c>
      <c r="T239" s="1" t="s">
        <v>39</v>
      </c>
      <c r="U239" s="1" t="s">
        <v>70</v>
      </c>
      <c r="W239" s="18"/>
    </row>
    <row r="240" spans="1:23" x14ac:dyDescent="0.25">
      <c r="A240" s="2" t="s">
        <v>491</v>
      </c>
      <c r="B240" s="1" t="s">
        <v>226</v>
      </c>
      <c r="C240" s="8">
        <v>45806</v>
      </c>
      <c r="D240" s="1" t="s">
        <v>56</v>
      </c>
      <c r="E240" s="1" t="s">
        <v>56</v>
      </c>
      <c r="F240" s="1" t="s">
        <v>24</v>
      </c>
      <c r="G240" s="1">
        <v>40</v>
      </c>
      <c r="H240" s="1" t="s">
        <v>35</v>
      </c>
      <c r="I240" s="1" t="s">
        <v>45</v>
      </c>
      <c r="J240" s="1" t="s">
        <v>84</v>
      </c>
      <c r="K240" s="14">
        <v>5</v>
      </c>
      <c r="L240" s="1">
        <v>2347</v>
      </c>
      <c r="M240" s="1">
        <v>5</v>
      </c>
      <c r="N240" s="1">
        <f>Table1[[#This Row],[Discount]]/100</f>
        <v>0.05</v>
      </c>
      <c r="O240" s="1">
        <v>586.75</v>
      </c>
      <c r="P240" s="1">
        <v>11148.25</v>
      </c>
      <c r="Q240" s="1">
        <v>202</v>
      </c>
      <c r="R240" s="1">
        <v>11350.25</v>
      </c>
      <c r="S240" s="1" t="s">
        <v>52</v>
      </c>
      <c r="T240" s="1" t="s">
        <v>29</v>
      </c>
      <c r="U240" s="1" t="s">
        <v>30</v>
      </c>
      <c r="V240" s="11">
        <v>6</v>
      </c>
      <c r="W240" s="18">
        <v>5</v>
      </c>
    </row>
    <row r="241" spans="1:23" x14ac:dyDescent="0.25">
      <c r="A241" s="2" t="s">
        <v>492</v>
      </c>
      <c r="B241" s="1" t="s">
        <v>449</v>
      </c>
      <c r="C241" s="8">
        <v>45931</v>
      </c>
      <c r="D241" s="1" t="s">
        <v>102</v>
      </c>
      <c r="E241" s="1" t="s">
        <v>103</v>
      </c>
      <c r="F241" s="1" t="s">
        <v>34</v>
      </c>
      <c r="G241" s="1">
        <v>45</v>
      </c>
      <c r="H241" s="1" t="s">
        <v>50</v>
      </c>
      <c r="I241" s="1" t="s">
        <v>36</v>
      </c>
      <c r="J241" s="1" t="s">
        <v>156</v>
      </c>
      <c r="K241" s="14">
        <v>1</v>
      </c>
      <c r="L241" s="1">
        <v>5865</v>
      </c>
      <c r="M241" s="1">
        <v>25</v>
      </c>
      <c r="N241" s="1">
        <f>Table1[[#This Row],[Discount]]/100</f>
        <v>0.25</v>
      </c>
      <c r="O241" s="1">
        <v>1466.25</v>
      </c>
      <c r="P241" s="1">
        <v>4398.75</v>
      </c>
      <c r="Q241" s="1">
        <v>211</v>
      </c>
      <c r="R241" s="1">
        <v>4609.75</v>
      </c>
      <c r="S241" s="1" t="s">
        <v>93</v>
      </c>
      <c r="T241" s="1" t="s">
        <v>39</v>
      </c>
      <c r="U241" s="1" t="s">
        <v>30</v>
      </c>
      <c r="V241" s="11">
        <v>3</v>
      </c>
      <c r="W241" s="18">
        <v>3</v>
      </c>
    </row>
    <row r="242" spans="1:23" x14ac:dyDescent="0.25">
      <c r="A242" s="2" t="s">
        <v>493</v>
      </c>
      <c r="B242" s="1" t="s">
        <v>455</v>
      </c>
      <c r="C242" s="8">
        <v>45762</v>
      </c>
      <c r="D242" s="1" t="s">
        <v>153</v>
      </c>
      <c r="E242" s="1" t="s">
        <v>153</v>
      </c>
      <c r="F242" s="1" t="s">
        <v>44</v>
      </c>
      <c r="G242" s="1">
        <v>52</v>
      </c>
      <c r="H242" s="1" t="s">
        <v>57</v>
      </c>
      <c r="I242" s="1" t="s">
        <v>36</v>
      </c>
      <c r="J242" s="1" t="s">
        <v>177</v>
      </c>
      <c r="K242" s="14">
        <v>2</v>
      </c>
      <c r="L242" s="1">
        <v>7276</v>
      </c>
      <c r="M242" s="1">
        <v>0</v>
      </c>
      <c r="N242" s="1">
        <f>Table1[[#This Row],[Discount]]/100</f>
        <v>0</v>
      </c>
      <c r="O242" s="1">
        <v>0</v>
      </c>
      <c r="P242" s="1">
        <v>14552</v>
      </c>
      <c r="Q242" s="1">
        <v>95</v>
      </c>
      <c r="R242" s="1">
        <v>14647</v>
      </c>
      <c r="S242" s="1" t="s">
        <v>28</v>
      </c>
      <c r="T242" s="1" t="s">
        <v>29</v>
      </c>
      <c r="U242" s="1" t="s">
        <v>40</v>
      </c>
      <c r="V242" s="11">
        <v>7</v>
      </c>
      <c r="W242" s="18"/>
    </row>
    <row r="243" spans="1:23" x14ac:dyDescent="0.25">
      <c r="A243" s="2" t="s">
        <v>494</v>
      </c>
      <c r="B243" s="1" t="s">
        <v>495</v>
      </c>
      <c r="C243" s="8">
        <v>45682</v>
      </c>
      <c r="D243" s="1" t="s">
        <v>87</v>
      </c>
      <c r="E243" s="1" t="s">
        <v>87</v>
      </c>
      <c r="F243" s="1" t="s">
        <v>24</v>
      </c>
      <c r="G243" s="1">
        <v>42</v>
      </c>
      <c r="H243" s="1" t="s">
        <v>69</v>
      </c>
      <c r="I243" s="1" t="s">
        <v>36</v>
      </c>
      <c r="J243" s="1" t="s">
        <v>37</v>
      </c>
      <c r="K243" s="14">
        <v>2</v>
      </c>
      <c r="L243" s="1">
        <v>6927</v>
      </c>
      <c r="M243" s="1">
        <v>25</v>
      </c>
      <c r="N243" s="1">
        <f>Table1[[#This Row],[Discount]]/100</f>
        <v>0.25</v>
      </c>
      <c r="O243" s="1">
        <v>3463.5</v>
      </c>
      <c r="P243" s="1">
        <v>10390.5</v>
      </c>
      <c r="Q243" s="1">
        <v>190</v>
      </c>
      <c r="R243" s="1">
        <v>10580.5</v>
      </c>
      <c r="S243" s="1" t="s">
        <v>52</v>
      </c>
      <c r="T243" s="1" t="s">
        <v>39</v>
      </c>
      <c r="U243" s="1" t="s">
        <v>30</v>
      </c>
      <c r="V243" s="11">
        <v>4</v>
      </c>
      <c r="W243" s="18">
        <v>4</v>
      </c>
    </row>
    <row r="244" spans="1:23" x14ac:dyDescent="0.25">
      <c r="A244" s="2" t="s">
        <v>496</v>
      </c>
      <c r="B244" s="1" t="s">
        <v>206</v>
      </c>
      <c r="C244" s="8">
        <v>45757</v>
      </c>
      <c r="D244" s="1" t="s">
        <v>153</v>
      </c>
      <c r="E244" s="1" t="s">
        <v>153</v>
      </c>
      <c r="F244" s="1" t="s">
        <v>34</v>
      </c>
      <c r="G244" s="1">
        <v>46</v>
      </c>
      <c r="H244" s="1" t="s">
        <v>35</v>
      </c>
      <c r="I244" s="1" t="s">
        <v>36</v>
      </c>
      <c r="J244" s="1" t="s">
        <v>156</v>
      </c>
      <c r="K244" s="14">
        <v>2</v>
      </c>
      <c r="L244" s="1">
        <v>6449</v>
      </c>
      <c r="M244" s="1">
        <v>20</v>
      </c>
      <c r="N244" s="1">
        <f>Table1[[#This Row],[Discount]]/100</f>
        <v>0.2</v>
      </c>
      <c r="O244" s="1">
        <v>2579.6</v>
      </c>
      <c r="P244" s="1">
        <v>10318.4</v>
      </c>
      <c r="Q244" s="1">
        <v>205</v>
      </c>
      <c r="R244" s="1">
        <v>10523.4</v>
      </c>
      <c r="S244" s="1" t="s">
        <v>47</v>
      </c>
      <c r="T244" s="1" t="s">
        <v>29</v>
      </c>
      <c r="U244" s="1" t="s">
        <v>30</v>
      </c>
      <c r="V244" s="11">
        <v>3</v>
      </c>
      <c r="W244" s="18">
        <v>3.5</v>
      </c>
    </row>
    <row r="245" spans="1:23" x14ac:dyDescent="0.25">
      <c r="A245" s="2" t="s">
        <v>497</v>
      </c>
      <c r="B245" s="1" t="s">
        <v>295</v>
      </c>
      <c r="C245" s="8">
        <v>45827</v>
      </c>
      <c r="D245" s="1" t="s">
        <v>120</v>
      </c>
      <c r="E245" s="1" t="s">
        <v>120</v>
      </c>
      <c r="F245" s="1" t="s">
        <v>34</v>
      </c>
      <c r="G245" s="1">
        <v>27</v>
      </c>
      <c r="H245" s="1" t="s">
        <v>69</v>
      </c>
      <c r="I245" s="1" t="s">
        <v>26</v>
      </c>
      <c r="J245" s="1" t="s">
        <v>283</v>
      </c>
      <c r="K245" s="14">
        <v>1</v>
      </c>
      <c r="L245" s="1">
        <v>56965</v>
      </c>
      <c r="M245" s="1">
        <v>20</v>
      </c>
      <c r="N245" s="1">
        <f>Table1[[#This Row],[Discount]]/100</f>
        <v>0.2</v>
      </c>
      <c r="O245" s="1">
        <v>11393</v>
      </c>
      <c r="P245" s="1">
        <v>45572</v>
      </c>
      <c r="Q245" s="1">
        <v>21</v>
      </c>
      <c r="R245" s="1">
        <v>45593</v>
      </c>
      <c r="S245" s="1" t="s">
        <v>52</v>
      </c>
      <c r="T245" s="1" t="s">
        <v>39</v>
      </c>
      <c r="U245" s="1" t="s">
        <v>53</v>
      </c>
      <c r="W245" s="18"/>
    </row>
    <row r="246" spans="1:23" x14ac:dyDescent="0.25">
      <c r="A246" s="2" t="s">
        <v>498</v>
      </c>
      <c r="B246" s="1" t="s">
        <v>499</v>
      </c>
      <c r="C246" s="8">
        <v>45752</v>
      </c>
      <c r="D246" s="1" t="s">
        <v>140</v>
      </c>
      <c r="E246" s="1" t="s">
        <v>141</v>
      </c>
      <c r="F246" s="1" t="s">
        <v>44</v>
      </c>
      <c r="G246" s="1">
        <v>22</v>
      </c>
      <c r="H246" s="1" t="s">
        <v>25</v>
      </c>
      <c r="I246" s="1" t="s">
        <v>36</v>
      </c>
      <c r="J246" s="1" t="s">
        <v>37</v>
      </c>
      <c r="K246" s="14">
        <v>3</v>
      </c>
      <c r="L246" s="1">
        <v>6822</v>
      </c>
      <c r="M246" s="1">
        <v>25</v>
      </c>
      <c r="N246" s="1">
        <f>Table1[[#This Row],[Discount]]/100</f>
        <v>0.25</v>
      </c>
      <c r="O246" s="1">
        <v>5116.5</v>
      </c>
      <c r="P246" s="1">
        <v>15349.5</v>
      </c>
      <c r="Q246" s="1">
        <v>76</v>
      </c>
      <c r="R246" s="1">
        <v>15425.5</v>
      </c>
      <c r="S246" s="1" t="s">
        <v>52</v>
      </c>
      <c r="T246" s="1" t="s">
        <v>118</v>
      </c>
      <c r="U246" s="1" t="s">
        <v>30</v>
      </c>
      <c r="V246" s="11">
        <v>5</v>
      </c>
      <c r="W246" s="18">
        <v>4.5</v>
      </c>
    </row>
    <row r="247" spans="1:23" x14ac:dyDescent="0.25">
      <c r="A247" s="2" t="s">
        <v>500</v>
      </c>
      <c r="B247" s="1" t="s">
        <v>457</v>
      </c>
      <c r="C247" s="8">
        <v>45990</v>
      </c>
      <c r="D247" s="1" t="s">
        <v>43</v>
      </c>
      <c r="E247" s="1" t="s">
        <v>43</v>
      </c>
      <c r="F247" s="1" t="s">
        <v>44</v>
      </c>
      <c r="G247" s="1">
        <v>25</v>
      </c>
      <c r="H247" s="1" t="s">
        <v>35</v>
      </c>
      <c r="I247" s="1" t="s">
        <v>88</v>
      </c>
      <c r="J247" s="1" t="s">
        <v>213</v>
      </c>
      <c r="K247" s="14">
        <v>2</v>
      </c>
      <c r="L247" s="1">
        <v>6211</v>
      </c>
      <c r="M247" s="1">
        <v>20</v>
      </c>
      <c r="N247" s="1">
        <f>Table1[[#This Row],[Discount]]/100</f>
        <v>0.2</v>
      </c>
      <c r="O247" s="1">
        <v>2484.4</v>
      </c>
      <c r="P247" s="1">
        <v>9937.6</v>
      </c>
      <c r="Q247" s="1">
        <v>163</v>
      </c>
      <c r="R247" s="1">
        <v>10100.6</v>
      </c>
      <c r="S247" s="1" t="s">
        <v>66</v>
      </c>
      <c r="T247" s="1" t="s">
        <v>29</v>
      </c>
      <c r="U247" s="1" t="s">
        <v>30</v>
      </c>
      <c r="V247" s="11">
        <v>1</v>
      </c>
      <c r="W247" s="18">
        <v>5</v>
      </c>
    </row>
    <row r="248" spans="1:23" x14ac:dyDescent="0.25">
      <c r="A248" s="2" t="s">
        <v>501</v>
      </c>
      <c r="B248" s="1" t="s">
        <v>502</v>
      </c>
      <c r="C248" s="8">
        <v>45849</v>
      </c>
      <c r="D248" s="1" t="s">
        <v>107</v>
      </c>
      <c r="E248" s="1" t="s">
        <v>107</v>
      </c>
      <c r="F248" s="1" t="s">
        <v>34</v>
      </c>
      <c r="G248" s="1">
        <v>50</v>
      </c>
      <c r="H248" s="1" t="s">
        <v>69</v>
      </c>
      <c r="I248" s="1" t="s">
        <v>58</v>
      </c>
      <c r="J248" s="1" t="s">
        <v>59</v>
      </c>
      <c r="K248" s="14">
        <v>1</v>
      </c>
      <c r="L248" s="1">
        <v>1200</v>
      </c>
      <c r="M248" s="1">
        <v>25</v>
      </c>
      <c r="N248" s="1">
        <f>Table1[[#This Row],[Discount]]/100</f>
        <v>0.25</v>
      </c>
      <c r="O248" s="1">
        <v>300</v>
      </c>
      <c r="P248" s="1">
        <v>900</v>
      </c>
      <c r="Q248" s="1">
        <v>152</v>
      </c>
      <c r="R248" s="1">
        <v>1052</v>
      </c>
      <c r="S248" s="1" t="s">
        <v>66</v>
      </c>
      <c r="T248" s="1" t="s">
        <v>39</v>
      </c>
      <c r="U248" s="1" t="s">
        <v>30</v>
      </c>
      <c r="V248" s="11">
        <v>5</v>
      </c>
      <c r="W248" s="18">
        <v>4</v>
      </c>
    </row>
    <row r="249" spans="1:23" x14ac:dyDescent="0.25">
      <c r="A249" s="2" t="s">
        <v>503</v>
      </c>
      <c r="B249" s="1" t="s">
        <v>504</v>
      </c>
      <c r="C249" s="8">
        <v>45767</v>
      </c>
      <c r="D249" s="1" t="s">
        <v>83</v>
      </c>
      <c r="E249" s="1" t="s">
        <v>83</v>
      </c>
      <c r="F249" s="1" t="s">
        <v>34</v>
      </c>
      <c r="G249" s="1">
        <v>45</v>
      </c>
      <c r="H249" s="1" t="s">
        <v>35</v>
      </c>
      <c r="I249" s="1" t="s">
        <v>58</v>
      </c>
      <c r="J249" s="1" t="s">
        <v>104</v>
      </c>
      <c r="K249" s="14">
        <v>1</v>
      </c>
      <c r="L249" s="1">
        <v>2717</v>
      </c>
      <c r="M249" s="1">
        <v>5</v>
      </c>
      <c r="N249" s="1">
        <f>Table1[[#This Row],[Discount]]/100</f>
        <v>0.05</v>
      </c>
      <c r="O249" s="1">
        <v>135.85</v>
      </c>
      <c r="P249" s="1">
        <v>2581.15</v>
      </c>
      <c r="Q249" s="1">
        <v>218</v>
      </c>
      <c r="R249" s="1">
        <v>2799.15</v>
      </c>
      <c r="S249" s="1" t="s">
        <v>52</v>
      </c>
      <c r="T249" s="1" t="s">
        <v>29</v>
      </c>
      <c r="U249" s="1" t="s">
        <v>40</v>
      </c>
      <c r="V249" s="11">
        <v>7</v>
      </c>
      <c r="W249" s="18"/>
    </row>
    <row r="250" spans="1:23" x14ac:dyDescent="0.25">
      <c r="A250" s="2" t="s">
        <v>505</v>
      </c>
      <c r="B250" s="1" t="s">
        <v>174</v>
      </c>
      <c r="C250" s="8">
        <v>45786</v>
      </c>
      <c r="D250" s="1" t="s">
        <v>107</v>
      </c>
      <c r="E250" s="1" t="s">
        <v>107</v>
      </c>
      <c r="F250" s="1" t="s">
        <v>34</v>
      </c>
      <c r="G250" s="1">
        <v>22</v>
      </c>
      <c r="H250" s="1" t="s">
        <v>69</v>
      </c>
      <c r="I250" s="1" t="s">
        <v>36</v>
      </c>
      <c r="J250" s="1" t="s">
        <v>92</v>
      </c>
      <c r="K250" s="14">
        <v>1</v>
      </c>
      <c r="L250" s="1">
        <v>1116</v>
      </c>
      <c r="M250" s="1">
        <v>0</v>
      </c>
      <c r="N250" s="1">
        <f>Table1[[#This Row],[Discount]]/100</f>
        <v>0</v>
      </c>
      <c r="O250" s="1">
        <v>0</v>
      </c>
      <c r="P250" s="1">
        <v>1116</v>
      </c>
      <c r="Q250" s="1">
        <v>223</v>
      </c>
      <c r="R250" s="1">
        <v>1339</v>
      </c>
      <c r="S250" s="1" t="s">
        <v>93</v>
      </c>
      <c r="T250" s="1" t="s">
        <v>118</v>
      </c>
      <c r="U250" s="1" t="s">
        <v>30</v>
      </c>
      <c r="V250" s="11">
        <v>5</v>
      </c>
      <c r="W250" s="18">
        <v>4.5</v>
      </c>
    </row>
    <row r="251" spans="1:23" x14ac:dyDescent="0.25">
      <c r="A251" s="2" t="s">
        <v>506</v>
      </c>
      <c r="B251" s="1" t="s">
        <v>358</v>
      </c>
      <c r="C251" s="8">
        <v>45957</v>
      </c>
      <c r="D251" s="1" t="s">
        <v>78</v>
      </c>
      <c r="E251" s="1" t="s">
        <v>78</v>
      </c>
      <c r="F251" s="1" t="s">
        <v>24</v>
      </c>
      <c r="G251" s="1">
        <v>22</v>
      </c>
      <c r="H251" s="1" t="s">
        <v>50</v>
      </c>
      <c r="I251" s="1" t="s">
        <v>36</v>
      </c>
      <c r="J251" s="1" t="s">
        <v>92</v>
      </c>
      <c r="K251" s="14">
        <v>4</v>
      </c>
      <c r="L251" s="1">
        <v>448</v>
      </c>
      <c r="M251" s="1">
        <v>25</v>
      </c>
      <c r="N251" s="1">
        <f>Table1[[#This Row],[Discount]]/100</f>
        <v>0.25</v>
      </c>
      <c r="O251" s="1">
        <v>448</v>
      </c>
      <c r="P251" s="1">
        <v>1344</v>
      </c>
      <c r="Q251" s="1">
        <v>36</v>
      </c>
      <c r="R251" s="1">
        <v>1380</v>
      </c>
      <c r="S251" s="1" t="s">
        <v>38</v>
      </c>
      <c r="T251" s="1" t="s">
        <v>29</v>
      </c>
      <c r="U251" s="1" t="s">
        <v>40</v>
      </c>
      <c r="V251" s="11">
        <v>1</v>
      </c>
      <c r="W251" s="18"/>
    </row>
    <row r="252" spans="1:23" x14ac:dyDescent="0.25">
      <c r="A252" s="2" t="s">
        <v>507</v>
      </c>
      <c r="B252" s="1" t="s">
        <v>374</v>
      </c>
      <c r="C252" s="8">
        <v>45858</v>
      </c>
      <c r="D252" s="1" t="s">
        <v>110</v>
      </c>
      <c r="E252" s="1" t="s">
        <v>110</v>
      </c>
      <c r="F252" s="1" t="s">
        <v>24</v>
      </c>
      <c r="G252" s="1">
        <v>52</v>
      </c>
      <c r="H252" s="1" t="s">
        <v>35</v>
      </c>
      <c r="I252" s="1" t="s">
        <v>58</v>
      </c>
      <c r="J252" s="1" t="s">
        <v>104</v>
      </c>
      <c r="K252" s="14">
        <v>3</v>
      </c>
      <c r="L252" s="1">
        <v>2091</v>
      </c>
      <c r="M252" s="1">
        <v>20</v>
      </c>
      <c r="N252" s="1">
        <f>Table1[[#This Row],[Discount]]/100</f>
        <v>0.2</v>
      </c>
      <c r="O252" s="1">
        <v>1254.5999999999999</v>
      </c>
      <c r="P252" s="1">
        <v>5018.3999999999996</v>
      </c>
      <c r="Q252" s="1">
        <v>211</v>
      </c>
      <c r="R252" s="1">
        <v>5229.3999999999996</v>
      </c>
      <c r="S252" s="1" t="s">
        <v>38</v>
      </c>
      <c r="T252" s="1" t="s">
        <v>29</v>
      </c>
      <c r="U252" s="1" t="s">
        <v>30</v>
      </c>
      <c r="V252" s="11">
        <v>7</v>
      </c>
      <c r="W252" s="18">
        <v>4</v>
      </c>
    </row>
    <row r="253" spans="1:23" x14ac:dyDescent="0.25">
      <c r="A253" s="2" t="s">
        <v>508</v>
      </c>
      <c r="B253" s="1" t="s">
        <v>509</v>
      </c>
      <c r="C253" s="8">
        <v>45938</v>
      </c>
      <c r="D253" s="1" t="s">
        <v>107</v>
      </c>
      <c r="E253" s="1" t="s">
        <v>107</v>
      </c>
      <c r="F253" s="1" t="s">
        <v>24</v>
      </c>
      <c r="G253" s="1">
        <v>37</v>
      </c>
      <c r="H253" s="1" t="s">
        <v>69</v>
      </c>
      <c r="I253" s="1" t="s">
        <v>36</v>
      </c>
      <c r="J253" s="1" t="s">
        <v>156</v>
      </c>
      <c r="K253" s="14">
        <v>1</v>
      </c>
      <c r="L253" s="1">
        <v>441</v>
      </c>
      <c r="M253" s="1">
        <v>20</v>
      </c>
      <c r="N253" s="1">
        <f>Table1[[#This Row],[Discount]]/100</f>
        <v>0.2</v>
      </c>
      <c r="O253" s="1">
        <v>88.2</v>
      </c>
      <c r="P253" s="1">
        <v>352.8</v>
      </c>
      <c r="Q253" s="1">
        <v>157</v>
      </c>
      <c r="R253" s="1">
        <v>509.8</v>
      </c>
      <c r="S253" s="1" t="s">
        <v>47</v>
      </c>
      <c r="T253" s="1" t="s">
        <v>118</v>
      </c>
      <c r="U253" s="1" t="s">
        <v>30</v>
      </c>
      <c r="V253" s="11">
        <v>1</v>
      </c>
      <c r="W253" s="18">
        <v>3.5</v>
      </c>
    </row>
    <row r="254" spans="1:23" x14ac:dyDescent="0.25">
      <c r="A254" s="2" t="s">
        <v>510</v>
      </c>
      <c r="B254" s="1" t="s">
        <v>511</v>
      </c>
      <c r="C254" s="8">
        <v>45685</v>
      </c>
      <c r="D254" s="1" t="s">
        <v>107</v>
      </c>
      <c r="E254" s="1" t="s">
        <v>107</v>
      </c>
      <c r="F254" s="1" t="s">
        <v>24</v>
      </c>
      <c r="G254" s="1">
        <v>53</v>
      </c>
      <c r="H254" s="1" t="s">
        <v>25</v>
      </c>
      <c r="I254" s="1" t="s">
        <v>36</v>
      </c>
      <c r="J254" s="1" t="s">
        <v>37</v>
      </c>
      <c r="K254" s="14">
        <v>2</v>
      </c>
      <c r="L254" s="1">
        <v>1338</v>
      </c>
      <c r="M254" s="1">
        <v>5</v>
      </c>
      <c r="N254" s="1">
        <f>Table1[[#This Row],[Discount]]/100</f>
        <v>0.05</v>
      </c>
      <c r="O254" s="1">
        <v>133.80000000000001</v>
      </c>
      <c r="P254" s="1">
        <v>2542.1999999999998</v>
      </c>
      <c r="Q254" s="1">
        <v>165</v>
      </c>
      <c r="R254" s="1">
        <v>2707.2</v>
      </c>
      <c r="S254" s="1" t="s">
        <v>28</v>
      </c>
      <c r="T254" s="1" t="s">
        <v>118</v>
      </c>
      <c r="U254" s="1" t="s">
        <v>40</v>
      </c>
      <c r="V254" s="11">
        <v>7</v>
      </c>
      <c r="W254" s="18"/>
    </row>
    <row r="255" spans="1:23" x14ac:dyDescent="0.25">
      <c r="A255" s="2" t="s">
        <v>512</v>
      </c>
      <c r="B255" s="1" t="s">
        <v>230</v>
      </c>
      <c r="C255" s="8">
        <v>45803</v>
      </c>
      <c r="D255" s="1" t="s">
        <v>23</v>
      </c>
      <c r="E255" s="1" t="s">
        <v>23</v>
      </c>
      <c r="F255" s="1" t="s">
        <v>34</v>
      </c>
      <c r="G255" s="1">
        <v>22</v>
      </c>
      <c r="H255" s="1" t="s">
        <v>69</v>
      </c>
      <c r="I255" s="1" t="s">
        <v>26</v>
      </c>
      <c r="J255" s="1" t="s">
        <v>198</v>
      </c>
      <c r="K255" s="14">
        <v>1</v>
      </c>
      <c r="L255" s="1">
        <v>26675</v>
      </c>
      <c r="M255" s="1">
        <v>25</v>
      </c>
      <c r="N255" s="1">
        <f>Table1[[#This Row],[Discount]]/100</f>
        <v>0.25</v>
      </c>
      <c r="O255" s="1">
        <v>6668.75</v>
      </c>
      <c r="P255" s="1">
        <v>20006.25</v>
      </c>
      <c r="Q255" s="1">
        <v>45</v>
      </c>
      <c r="R255" s="1">
        <v>20051.25</v>
      </c>
      <c r="S255" s="1" t="s">
        <v>93</v>
      </c>
      <c r="T255" s="1" t="s">
        <v>118</v>
      </c>
      <c r="U255" s="1" t="s">
        <v>40</v>
      </c>
      <c r="V255" s="11">
        <v>5</v>
      </c>
      <c r="W255" s="18"/>
    </row>
    <row r="256" spans="1:23" x14ac:dyDescent="0.25">
      <c r="A256" s="2" t="s">
        <v>513</v>
      </c>
      <c r="B256" s="1" t="s">
        <v>116</v>
      </c>
      <c r="C256" s="8">
        <v>45784</v>
      </c>
      <c r="D256" s="1" t="s">
        <v>83</v>
      </c>
      <c r="E256" s="1" t="s">
        <v>83</v>
      </c>
      <c r="F256" s="1" t="s">
        <v>24</v>
      </c>
      <c r="G256" s="1">
        <v>32</v>
      </c>
      <c r="H256" s="1" t="s">
        <v>57</v>
      </c>
      <c r="I256" s="1" t="s">
        <v>58</v>
      </c>
      <c r="J256" s="1" t="s">
        <v>62</v>
      </c>
      <c r="K256" s="14">
        <v>5</v>
      </c>
      <c r="L256" s="1">
        <v>3458</v>
      </c>
      <c r="M256" s="1">
        <v>15</v>
      </c>
      <c r="N256" s="1">
        <f>Table1[[#This Row],[Discount]]/100</f>
        <v>0.15</v>
      </c>
      <c r="O256" s="1">
        <v>2593.5</v>
      </c>
      <c r="P256" s="1">
        <v>14696.5</v>
      </c>
      <c r="Q256" s="1">
        <v>100</v>
      </c>
      <c r="R256" s="1">
        <v>14796.5</v>
      </c>
      <c r="S256" s="1" t="s">
        <v>38</v>
      </c>
      <c r="T256" s="1" t="s">
        <v>118</v>
      </c>
      <c r="U256" s="1" t="s">
        <v>30</v>
      </c>
      <c r="V256" s="11">
        <v>7</v>
      </c>
      <c r="W256" s="18">
        <v>5</v>
      </c>
    </row>
    <row r="257" spans="1:23" x14ac:dyDescent="0.25">
      <c r="A257" s="2" t="s">
        <v>514</v>
      </c>
      <c r="B257" s="1" t="s">
        <v>307</v>
      </c>
      <c r="C257" s="8">
        <v>45699</v>
      </c>
      <c r="D257" s="1" t="s">
        <v>56</v>
      </c>
      <c r="E257" s="1" t="s">
        <v>56</v>
      </c>
      <c r="F257" s="1" t="s">
        <v>24</v>
      </c>
      <c r="G257" s="1">
        <v>35</v>
      </c>
      <c r="H257" s="1" t="s">
        <v>35</v>
      </c>
      <c r="I257" s="1" t="s">
        <v>36</v>
      </c>
      <c r="J257" s="1" t="s">
        <v>156</v>
      </c>
      <c r="K257" s="14">
        <v>4</v>
      </c>
      <c r="L257" s="1">
        <v>4919</v>
      </c>
      <c r="M257" s="1">
        <v>0</v>
      </c>
      <c r="N257" s="1">
        <f>Table1[[#This Row],[Discount]]/100</f>
        <v>0</v>
      </c>
      <c r="O257" s="1">
        <v>0</v>
      </c>
      <c r="P257" s="1">
        <v>19676</v>
      </c>
      <c r="Q257" s="1">
        <v>175</v>
      </c>
      <c r="R257" s="1">
        <v>19851</v>
      </c>
      <c r="S257" s="1" t="s">
        <v>38</v>
      </c>
      <c r="T257" s="1" t="s">
        <v>29</v>
      </c>
      <c r="U257" s="1" t="s">
        <v>30</v>
      </c>
      <c r="V257" s="11">
        <v>7</v>
      </c>
      <c r="W257" s="18">
        <v>3.5</v>
      </c>
    </row>
    <row r="258" spans="1:23" x14ac:dyDescent="0.25">
      <c r="A258" s="2" t="s">
        <v>515</v>
      </c>
      <c r="B258" s="1" t="s">
        <v>516</v>
      </c>
      <c r="C258" s="8">
        <v>45940</v>
      </c>
      <c r="D258" s="1" t="s">
        <v>107</v>
      </c>
      <c r="E258" s="1" t="s">
        <v>107</v>
      </c>
      <c r="F258" s="1" t="s">
        <v>24</v>
      </c>
      <c r="G258" s="1">
        <v>52</v>
      </c>
      <c r="H258" s="1" t="s">
        <v>35</v>
      </c>
      <c r="I258" s="1" t="s">
        <v>36</v>
      </c>
      <c r="J258" s="1" t="s">
        <v>177</v>
      </c>
      <c r="K258" s="14">
        <v>1</v>
      </c>
      <c r="L258" s="1">
        <v>3718</v>
      </c>
      <c r="M258" s="1">
        <v>20</v>
      </c>
      <c r="N258" s="1">
        <f>Table1[[#This Row],[Discount]]/100</f>
        <v>0.2</v>
      </c>
      <c r="O258" s="1">
        <v>743.6</v>
      </c>
      <c r="P258" s="1">
        <v>2974.4</v>
      </c>
      <c r="Q258" s="1">
        <v>29</v>
      </c>
      <c r="R258" s="1">
        <v>3003.4</v>
      </c>
      <c r="S258" s="1" t="s">
        <v>38</v>
      </c>
      <c r="T258" s="1" t="s">
        <v>118</v>
      </c>
      <c r="U258" s="1" t="s">
        <v>30</v>
      </c>
      <c r="V258" s="11">
        <v>3</v>
      </c>
      <c r="W258" s="18">
        <v>4.5</v>
      </c>
    </row>
    <row r="259" spans="1:23" x14ac:dyDescent="0.25">
      <c r="A259" s="2" t="s">
        <v>517</v>
      </c>
      <c r="B259" s="1" t="s">
        <v>313</v>
      </c>
      <c r="C259" s="8">
        <v>45972</v>
      </c>
      <c r="D259" s="1" t="s">
        <v>33</v>
      </c>
      <c r="E259" s="1" t="s">
        <v>33</v>
      </c>
      <c r="F259" s="1" t="s">
        <v>44</v>
      </c>
      <c r="G259" s="1">
        <v>28</v>
      </c>
      <c r="H259" s="1" t="s">
        <v>35</v>
      </c>
      <c r="I259" s="1" t="s">
        <v>58</v>
      </c>
      <c r="J259" s="1" t="s">
        <v>62</v>
      </c>
      <c r="K259" s="14">
        <v>2</v>
      </c>
      <c r="L259" s="1">
        <v>1775</v>
      </c>
      <c r="M259" s="1">
        <v>20</v>
      </c>
      <c r="N259" s="1">
        <f>Table1[[#This Row],[Discount]]/100</f>
        <v>0.2</v>
      </c>
      <c r="O259" s="1">
        <v>710</v>
      </c>
      <c r="P259" s="1">
        <v>2840</v>
      </c>
      <c r="Q259" s="1">
        <v>81</v>
      </c>
      <c r="R259" s="1">
        <v>2921</v>
      </c>
      <c r="S259" s="1" t="s">
        <v>47</v>
      </c>
      <c r="T259" s="1" t="s">
        <v>29</v>
      </c>
      <c r="U259" s="1" t="s">
        <v>30</v>
      </c>
      <c r="V259" s="11">
        <v>6</v>
      </c>
      <c r="W259" s="18">
        <v>4.5</v>
      </c>
    </row>
    <row r="260" spans="1:23" x14ac:dyDescent="0.25">
      <c r="A260" s="2" t="s">
        <v>518</v>
      </c>
      <c r="B260" s="1" t="s">
        <v>444</v>
      </c>
      <c r="C260" s="8">
        <v>46000</v>
      </c>
      <c r="D260" s="1" t="s">
        <v>73</v>
      </c>
      <c r="E260" s="1" t="s">
        <v>73</v>
      </c>
      <c r="F260" s="1" t="s">
        <v>44</v>
      </c>
      <c r="G260" s="1">
        <v>51</v>
      </c>
      <c r="H260" s="1" t="s">
        <v>57</v>
      </c>
      <c r="I260" s="1" t="s">
        <v>36</v>
      </c>
      <c r="J260" s="1" t="s">
        <v>159</v>
      </c>
      <c r="K260" s="14">
        <v>4</v>
      </c>
      <c r="L260" s="1">
        <v>914</v>
      </c>
      <c r="M260" s="1">
        <v>10</v>
      </c>
      <c r="N260" s="1">
        <f>Table1[[#This Row],[Discount]]/100</f>
        <v>0.1</v>
      </c>
      <c r="O260" s="1">
        <v>365.6</v>
      </c>
      <c r="P260" s="1">
        <v>3290.4</v>
      </c>
      <c r="Q260" s="1">
        <v>30</v>
      </c>
      <c r="R260" s="1">
        <v>3320.4</v>
      </c>
      <c r="S260" s="1" t="s">
        <v>28</v>
      </c>
      <c r="T260" s="1" t="s">
        <v>39</v>
      </c>
      <c r="U260" s="1" t="s">
        <v>30</v>
      </c>
      <c r="V260" s="11">
        <v>2</v>
      </c>
      <c r="W260" s="18">
        <v>4</v>
      </c>
    </row>
    <row r="261" spans="1:23" x14ac:dyDescent="0.25">
      <c r="A261" s="2" t="s">
        <v>519</v>
      </c>
      <c r="B261" s="1" t="s">
        <v>520</v>
      </c>
      <c r="C261" s="8">
        <v>45958</v>
      </c>
      <c r="D261" s="1" t="s">
        <v>23</v>
      </c>
      <c r="E261" s="1" t="s">
        <v>23</v>
      </c>
      <c r="F261" s="1" t="s">
        <v>44</v>
      </c>
      <c r="G261" s="1">
        <v>22</v>
      </c>
      <c r="H261" s="1" t="s">
        <v>57</v>
      </c>
      <c r="I261" s="1" t="s">
        <v>88</v>
      </c>
      <c r="J261" s="1" t="s">
        <v>89</v>
      </c>
      <c r="K261" s="14">
        <v>5</v>
      </c>
      <c r="L261" s="1">
        <v>9780</v>
      </c>
      <c r="M261" s="1">
        <v>15</v>
      </c>
      <c r="N261" s="1">
        <f>Table1[[#This Row],[Discount]]/100</f>
        <v>0.15</v>
      </c>
      <c r="O261" s="1">
        <v>7335</v>
      </c>
      <c r="P261" s="1">
        <v>41565</v>
      </c>
      <c r="Q261" s="1">
        <v>113</v>
      </c>
      <c r="R261" s="1">
        <v>41678</v>
      </c>
      <c r="S261" s="1" t="s">
        <v>47</v>
      </c>
      <c r="T261" s="1" t="s">
        <v>29</v>
      </c>
      <c r="U261" s="1" t="s">
        <v>40</v>
      </c>
      <c r="V261" s="11">
        <v>6</v>
      </c>
      <c r="W261" s="18"/>
    </row>
    <row r="262" spans="1:23" x14ac:dyDescent="0.25">
      <c r="A262" s="2" t="s">
        <v>521</v>
      </c>
      <c r="B262" s="1" t="s">
        <v>254</v>
      </c>
      <c r="C262" s="8">
        <v>45921</v>
      </c>
      <c r="D262" s="1" t="s">
        <v>96</v>
      </c>
      <c r="E262" s="1" t="s">
        <v>96</v>
      </c>
      <c r="F262" s="1" t="s">
        <v>34</v>
      </c>
      <c r="G262" s="1">
        <v>35</v>
      </c>
      <c r="H262" s="1" t="s">
        <v>35</v>
      </c>
      <c r="I262" s="1" t="s">
        <v>88</v>
      </c>
      <c r="J262" s="1" t="s">
        <v>207</v>
      </c>
      <c r="K262" s="14">
        <v>4</v>
      </c>
      <c r="L262" s="1">
        <v>408</v>
      </c>
      <c r="M262" s="1">
        <v>15</v>
      </c>
      <c r="N262" s="1">
        <f>Table1[[#This Row],[Discount]]/100</f>
        <v>0.15</v>
      </c>
      <c r="O262" s="1">
        <v>244.8</v>
      </c>
      <c r="P262" s="1">
        <v>1387.2</v>
      </c>
      <c r="Q262" s="1">
        <v>39</v>
      </c>
      <c r="R262" s="1">
        <v>1426.2</v>
      </c>
      <c r="S262" s="1" t="s">
        <v>38</v>
      </c>
      <c r="T262" s="1" t="s">
        <v>29</v>
      </c>
      <c r="U262" s="1" t="s">
        <v>30</v>
      </c>
      <c r="V262" s="11">
        <v>6</v>
      </c>
      <c r="W262" s="18">
        <v>3.5</v>
      </c>
    </row>
    <row r="263" spans="1:23" x14ac:dyDescent="0.25">
      <c r="A263" s="2" t="s">
        <v>522</v>
      </c>
      <c r="B263" s="1" t="s">
        <v>523</v>
      </c>
      <c r="C263" s="8">
        <v>45868</v>
      </c>
      <c r="D263" s="1" t="s">
        <v>102</v>
      </c>
      <c r="E263" s="1" t="s">
        <v>103</v>
      </c>
      <c r="F263" s="1" t="s">
        <v>24</v>
      </c>
      <c r="G263" s="1">
        <v>33</v>
      </c>
      <c r="H263" s="1" t="s">
        <v>25</v>
      </c>
      <c r="I263" s="1" t="s">
        <v>26</v>
      </c>
      <c r="J263" s="1" t="s">
        <v>51</v>
      </c>
      <c r="K263" s="14">
        <v>4</v>
      </c>
      <c r="L263" s="1">
        <v>44083</v>
      </c>
      <c r="M263" s="1">
        <v>20</v>
      </c>
      <c r="N263" s="1">
        <f>Table1[[#This Row],[Discount]]/100</f>
        <v>0.2</v>
      </c>
      <c r="O263" s="1">
        <v>35266.400000000001</v>
      </c>
      <c r="P263" s="1">
        <v>141065.60000000001</v>
      </c>
      <c r="Q263" s="1">
        <v>233</v>
      </c>
      <c r="R263" s="1">
        <v>141298.6</v>
      </c>
      <c r="S263" s="1" t="s">
        <v>47</v>
      </c>
      <c r="T263" s="1" t="s">
        <v>39</v>
      </c>
      <c r="U263" s="1" t="s">
        <v>30</v>
      </c>
      <c r="V263" s="11">
        <v>1</v>
      </c>
      <c r="W263" s="18">
        <v>3</v>
      </c>
    </row>
    <row r="264" spans="1:23" x14ac:dyDescent="0.25">
      <c r="A264" s="2" t="s">
        <v>524</v>
      </c>
      <c r="B264" s="1" t="s">
        <v>72</v>
      </c>
      <c r="C264" s="8">
        <v>45946</v>
      </c>
      <c r="D264" s="1" t="s">
        <v>23</v>
      </c>
      <c r="E264" s="1" t="s">
        <v>23</v>
      </c>
      <c r="F264" s="1" t="s">
        <v>24</v>
      </c>
      <c r="G264" s="1">
        <v>19</v>
      </c>
      <c r="H264" s="1" t="s">
        <v>69</v>
      </c>
      <c r="I264" s="1" t="s">
        <v>58</v>
      </c>
      <c r="J264" s="1" t="s">
        <v>104</v>
      </c>
      <c r="K264" s="14">
        <v>5</v>
      </c>
      <c r="L264" s="1">
        <v>3928</v>
      </c>
      <c r="M264" s="1">
        <v>20</v>
      </c>
      <c r="N264" s="1">
        <f>Table1[[#This Row],[Discount]]/100</f>
        <v>0.2</v>
      </c>
      <c r="O264" s="1">
        <v>3928</v>
      </c>
      <c r="P264" s="1">
        <v>15712</v>
      </c>
      <c r="Q264" s="1">
        <v>173</v>
      </c>
      <c r="R264" s="1">
        <v>15885</v>
      </c>
      <c r="S264" s="1" t="s">
        <v>28</v>
      </c>
      <c r="T264" s="1" t="s">
        <v>39</v>
      </c>
      <c r="U264" s="1" t="s">
        <v>70</v>
      </c>
      <c r="W264" s="18"/>
    </row>
    <row r="265" spans="1:23" x14ac:dyDescent="0.25">
      <c r="A265" s="2" t="s">
        <v>525</v>
      </c>
      <c r="B265" s="1" t="s">
        <v>441</v>
      </c>
      <c r="C265" s="8">
        <v>45793</v>
      </c>
      <c r="D265" s="1" t="s">
        <v>78</v>
      </c>
      <c r="E265" s="1" t="s">
        <v>78</v>
      </c>
      <c r="F265" s="1" t="s">
        <v>44</v>
      </c>
      <c r="G265" s="1">
        <v>39</v>
      </c>
      <c r="H265" s="1" t="s">
        <v>25</v>
      </c>
      <c r="I265" s="1" t="s">
        <v>58</v>
      </c>
      <c r="J265" s="1" t="s">
        <v>65</v>
      </c>
      <c r="K265" s="14">
        <v>4</v>
      </c>
      <c r="L265" s="1">
        <v>3404</v>
      </c>
      <c r="M265" s="1">
        <v>5</v>
      </c>
      <c r="N265" s="1">
        <f>Table1[[#This Row],[Discount]]/100</f>
        <v>0.05</v>
      </c>
      <c r="O265" s="1">
        <v>680.8</v>
      </c>
      <c r="P265" s="1">
        <v>12935.2</v>
      </c>
      <c r="Q265" s="1">
        <v>150</v>
      </c>
      <c r="R265" s="1">
        <v>13085.2</v>
      </c>
      <c r="S265" s="1" t="s">
        <v>52</v>
      </c>
      <c r="T265" s="1" t="s">
        <v>39</v>
      </c>
      <c r="U265" s="1" t="s">
        <v>40</v>
      </c>
      <c r="V265" s="11">
        <v>2</v>
      </c>
      <c r="W265" s="18"/>
    </row>
    <row r="266" spans="1:23" x14ac:dyDescent="0.25">
      <c r="A266" s="2" t="s">
        <v>526</v>
      </c>
      <c r="B266" s="1" t="s">
        <v>527</v>
      </c>
      <c r="C266" s="8">
        <v>45734</v>
      </c>
      <c r="D266" s="1" t="s">
        <v>33</v>
      </c>
      <c r="E266" s="1" t="s">
        <v>33</v>
      </c>
      <c r="F266" s="1" t="s">
        <v>44</v>
      </c>
      <c r="G266" s="1">
        <v>24</v>
      </c>
      <c r="H266" s="1" t="s">
        <v>25</v>
      </c>
      <c r="I266" s="1" t="s">
        <v>45</v>
      </c>
      <c r="J266" s="1" t="s">
        <v>146</v>
      </c>
      <c r="K266" s="14">
        <v>2</v>
      </c>
      <c r="L266" s="1">
        <v>2221</v>
      </c>
      <c r="M266" s="1">
        <v>20</v>
      </c>
      <c r="N266" s="1">
        <f>Table1[[#This Row],[Discount]]/100</f>
        <v>0.2</v>
      </c>
      <c r="O266" s="1">
        <v>888.4</v>
      </c>
      <c r="P266" s="1">
        <v>3553.6</v>
      </c>
      <c r="Q266" s="1">
        <v>231</v>
      </c>
      <c r="R266" s="1">
        <v>3784.6</v>
      </c>
      <c r="S266" s="1" t="s">
        <v>52</v>
      </c>
      <c r="T266" s="1" t="s">
        <v>39</v>
      </c>
      <c r="U266" s="1" t="s">
        <v>40</v>
      </c>
      <c r="V266" s="11">
        <v>5</v>
      </c>
      <c r="W266" s="18"/>
    </row>
    <row r="267" spans="1:23" x14ac:dyDescent="0.25">
      <c r="A267" s="2" t="s">
        <v>528</v>
      </c>
      <c r="B267" s="1" t="s">
        <v>197</v>
      </c>
      <c r="C267" s="8">
        <v>45873</v>
      </c>
      <c r="D267" s="1" t="s">
        <v>107</v>
      </c>
      <c r="E267" s="1" t="s">
        <v>107</v>
      </c>
      <c r="F267" s="1" t="s">
        <v>24</v>
      </c>
      <c r="G267" s="1">
        <v>20</v>
      </c>
      <c r="H267" s="1" t="s">
        <v>57</v>
      </c>
      <c r="I267" s="1" t="s">
        <v>58</v>
      </c>
      <c r="J267" s="1" t="s">
        <v>114</v>
      </c>
      <c r="K267" s="14">
        <v>1</v>
      </c>
      <c r="L267" s="1">
        <v>3539</v>
      </c>
      <c r="M267" s="1">
        <v>25</v>
      </c>
      <c r="N267" s="1">
        <f>Table1[[#This Row],[Discount]]/100</f>
        <v>0.25</v>
      </c>
      <c r="O267" s="1">
        <v>884.75</v>
      </c>
      <c r="P267" s="1">
        <v>2654.25</v>
      </c>
      <c r="Q267" s="1">
        <v>153</v>
      </c>
      <c r="R267" s="1">
        <v>2807.25</v>
      </c>
      <c r="S267" s="1" t="s">
        <v>47</v>
      </c>
      <c r="T267" s="1" t="s">
        <v>118</v>
      </c>
      <c r="U267" s="1" t="s">
        <v>40</v>
      </c>
      <c r="V267" s="11">
        <v>3</v>
      </c>
      <c r="W267" s="18"/>
    </row>
    <row r="268" spans="1:23" x14ac:dyDescent="0.25">
      <c r="A268" s="2" t="s">
        <v>529</v>
      </c>
      <c r="B268" s="1" t="s">
        <v>530</v>
      </c>
      <c r="C268" s="8">
        <v>45803</v>
      </c>
      <c r="D268" s="1" t="s">
        <v>140</v>
      </c>
      <c r="E268" s="1" t="s">
        <v>141</v>
      </c>
      <c r="F268" s="1" t="s">
        <v>44</v>
      </c>
      <c r="G268" s="1">
        <v>52</v>
      </c>
      <c r="H268" s="1" t="s">
        <v>35</v>
      </c>
      <c r="I268" s="1" t="s">
        <v>45</v>
      </c>
      <c r="J268" s="1" t="s">
        <v>111</v>
      </c>
      <c r="K268" s="14">
        <v>5</v>
      </c>
      <c r="L268" s="1">
        <v>1122</v>
      </c>
      <c r="M268" s="1">
        <v>5</v>
      </c>
      <c r="N268" s="1">
        <f>Table1[[#This Row],[Discount]]/100</f>
        <v>0.05</v>
      </c>
      <c r="O268" s="1">
        <v>280.5</v>
      </c>
      <c r="P268" s="1">
        <v>5329.5</v>
      </c>
      <c r="Q268" s="1">
        <v>41</v>
      </c>
      <c r="R268" s="1">
        <v>5370.5</v>
      </c>
      <c r="S268" s="1" t="s">
        <v>28</v>
      </c>
      <c r="T268" s="1" t="s">
        <v>29</v>
      </c>
      <c r="U268" s="1" t="s">
        <v>80</v>
      </c>
      <c r="W268" s="18"/>
    </row>
    <row r="269" spans="1:23" x14ac:dyDescent="0.25">
      <c r="A269" s="2" t="s">
        <v>531</v>
      </c>
      <c r="B269" s="1" t="s">
        <v>61</v>
      </c>
      <c r="C269" s="8">
        <v>45843</v>
      </c>
      <c r="D269" s="1" t="s">
        <v>102</v>
      </c>
      <c r="E269" s="1" t="s">
        <v>103</v>
      </c>
      <c r="F269" s="1" t="s">
        <v>24</v>
      </c>
      <c r="G269" s="1">
        <v>27</v>
      </c>
      <c r="H269" s="1" t="s">
        <v>25</v>
      </c>
      <c r="I269" s="1" t="s">
        <v>26</v>
      </c>
      <c r="J269" s="1" t="s">
        <v>79</v>
      </c>
      <c r="K269" s="14">
        <v>5</v>
      </c>
      <c r="L269" s="1">
        <v>16244</v>
      </c>
      <c r="M269" s="1">
        <v>25</v>
      </c>
      <c r="N269" s="1">
        <f>Table1[[#This Row],[Discount]]/100</f>
        <v>0.25</v>
      </c>
      <c r="O269" s="1">
        <v>20305</v>
      </c>
      <c r="P269" s="1">
        <v>60915</v>
      </c>
      <c r="Q269" s="1">
        <v>124</v>
      </c>
      <c r="R269" s="1">
        <v>61039</v>
      </c>
      <c r="S269" s="1" t="s">
        <v>38</v>
      </c>
      <c r="T269" s="1" t="s">
        <v>118</v>
      </c>
      <c r="U269" s="1" t="s">
        <v>53</v>
      </c>
      <c r="W269" s="18"/>
    </row>
    <row r="270" spans="1:23" x14ac:dyDescent="0.25">
      <c r="A270" s="2" t="s">
        <v>532</v>
      </c>
      <c r="B270" s="1" t="s">
        <v>533</v>
      </c>
      <c r="C270" s="8">
        <v>45905</v>
      </c>
      <c r="D270" s="1" t="s">
        <v>87</v>
      </c>
      <c r="E270" s="1" t="s">
        <v>87</v>
      </c>
      <c r="F270" s="1" t="s">
        <v>44</v>
      </c>
      <c r="G270" s="1">
        <v>41</v>
      </c>
      <c r="H270" s="1" t="s">
        <v>69</v>
      </c>
      <c r="I270" s="1" t="s">
        <v>58</v>
      </c>
      <c r="J270" s="1" t="s">
        <v>65</v>
      </c>
      <c r="K270" s="14">
        <v>5</v>
      </c>
      <c r="L270" s="1">
        <v>3242</v>
      </c>
      <c r="M270" s="1">
        <v>15</v>
      </c>
      <c r="N270" s="1">
        <f>Table1[[#This Row],[Discount]]/100</f>
        <v>0.15</v>
      </c>
      <c r="O270" s="1">
        <v>2431.5</v>
      </c>
      <c r="P270" s="1">
        <v>13778.5</v>
      </c>
      <c r="Q270" s="1">
        <v>162</v>
      </c>
      <c r="R270" s="1">
        <v>13940.5</v>
      </c>
      <c r="S270" s="1" t="s">
        <v>38</v>
      </c>
      <c r="T270" s="1" t="s">
        <v>29</v>
      </c>
      <c r="U270" s="1" t="s">
        <v>30</v>
      </c>
      <c r="V270" s="11">
        <v>2</v>
      </c>
      <c r="W270" s="18">
        <v>4.5</v>
      </c>
    </row>
    <row r="271" spans="1:23" x14ac:dyDescent="0.25">
      <c r="A271" s="2" t="s">
        <v>534</v>
      </c>
      <c r="B271" s="1" t="s">
        <v>444</v>
      </c>
      <c r="C271" s="8">
        <v>45939</v>
      </c>
      <c r="D271" s="1" t="s">
        <v>83</v>
      </c>
      <c r="E271" s="1" t="s">
        <v>83</v>
      </c>
      <c r="F271" s="1" t="s">
        <v>24</v>
      </c>
      <c r="G271" s="1">
        <v>21</v>
      </c>
      <c r="H271" s="1" t="s">
        <v>50</v>
      </c>
      <c r="I271" s="1" t="s">
        <v>36</v>
      </c>
      <c r="J271" s="1" t="s">
        <v>92</v>
      </c>
      <c r="K271" s="14">
        <v>2</v>
      </c>
      <c r="L271" s="1">
        <v>2156</v>
      </c>
      <c r="M271" s="1">
        <v>20</v>
      </c>
      <c r="N271" s="1">
        <f>Table1[[#This Row],[Discount]]/100</f>
        <v>0.2</v>
      </c>
      <c r="O271" s="1">
        <v>862.4</v>
      </c>
      <c r="P271" s="1">
        <v>3449.6</v>
      </c>
      <c r="Q271" s="1">
        <v>106</v>
      </c>
      <c r="R271" s="1">
        <v>3555.6</v>
      </c>
      <c r="S271" s="1" t="s">
        <v>28</v>
      </c>
      <c r="T271" s="1" t="s">
        <v>39</v>
      </c>
      <c r="U271" s="1" t="s">
        <v>30</v>
      </c>
      <c r="V271" s="11">
        <v>5</v>
      </c>
      <c r="W271" s="18">
        <v>3.5</v>
      </c>
    </row>
    <row r="272" spans="1:23" x14ac:dyDescent="0.25">
      <c r="A272" s="2" t="s">
        <v>535</v>
      </c>
      <c r="B272" s="1" t="s">
        <v>536</v>
      </c>
      <c r="C272" s="8">
        <v>45972</v>
      </c>
      <c r="D272" s="1" t="s">
        <v>78</v>
      </c>
      <c r="E272" s="1" t="s">
        <v>78</v>
      </c>
      <c r="F272" s="1" t="s">
        <v>24</v>
      </c>
      <c r="G272" s="1">
        <v>51</v>
      </c>
      <c r="H272" s="1" t="s">
        <v>25</v>
      </c>
      <c r="I272" s="1" t="s">
        <v>58</v>
      </c>
      <c r="J272" s="1" t="s">
        <v>65</v>
      </c>
      <c r="K272" s="14">
        <v>1</v>
      </c>
      <c r="L272" s="1">
        <v>477</v>
      </c>
      <c r="M272" s="1">
        <v>0</v>
      </c>
      <c r="N272" s="1">
        <f>Table1[[#This Row],[Discount]]/100</f>
        <v>0</v>
      </c>
      <c r="O272" s="1">
        <v>0</v>
      </c>
      <c r="P272" s="1">
        <v>477</v>
      </c>
      <c r="Q272" s="1">
        <v>122</v>
      </c>
      <c r="R272" s="1">
        <v>599</v>
      </c>
      <c r="S272" s="1" t="s">
        <v>28</v>
      </c>
      <c r="T272" s="1" t="s">
        <v>39</v>
      </c>
      <c r="U272" s="1" t="s">
        <v>40</v>
      </c>
      <c r="V272" s="11">
        <v>6</v>
      </c>
      <c r="W272" s="18"/>
    </row>
    <row r="273" spans="1:23" x14ac:dyDescent="0.25">
      <c r="A273" s="2" t="s">
        <v>537</v>
      </c>
      <c r="B273" s="1" t="s">
        <v>538</v>
      </c>
      <c r="C273" s="8">
        <v>45776</v>
      </c>
      <c r="D273" s="1" t="s">
        <v>23</v>
      </c>
      <c r="E273" s="1" t="s">
        <v>23</v>
      </c>
      <c r="F273" s="1" t="s">
        <v>44</v>
      </c>
      <c r="G273" s="1">
        <v>28</v>
      </c>
      <c r="H273" s="1" t="s">
        <v>35</v>
      </c>
      <c r="I273" s="1" t="s">
        <v>45</v>
      </c>
      <c r="J273" s="1" t="s">
        <v>146</v>
      </c>
      <c r="K273" s="14">
        <v>1</v>
      </c>
      <c r="L273" s="1">
        <v>1251</v>
      </c>
      <c r="M273" s="1">
        <v>20</v>
      </c>
      <c r="N273" s="1">
        <f>Table1[[#This Row],[Discount]]/100</f>
        <v>0.2</v>
      </c>
      <c r="O273" s="1">
        <v>250.2</v>
      </c>
      <c r="P273" s="1">
        <v>1000.8</v>
      </c>
      <c r="Q273" s="1">
        <v>198</v>
      </c>
      <c r="R273" s="1">
        <v>1198.8</v>
      </c>
      <c r="S273" s="1" t="s">
        <v>66</v>
      </c>
      <c r="T273" s="1" t="s">
        <v>39</v>
      </c>
      <c r="U273" s="1" t="s">
        <v>30</v>
      </c>
      <c r="V273" s="11">
        <v>5</v>
      </c>
      <c r="W273" s="18">
        <v>5</v>
      </c>
    </row>
    <row r="274" spans="1:23" x14ac:dyDescent="0.25">
      <c r="A274" s="2" t="s">
        <v>539</v>
      </c>
      <c r="B274" s="1" t="s">
        <v>540</v>
      </c>
      <c r="C274" s="8">
        <v>45693</v>
      </c>
      <c r="D274" s="1" t="s">
        <v>56</v>
      </c>
      <c r="E274" s="1" t="s">
        <v>56</v>
      </c>
      <c r="F274" s="1" t="s">
        <v>24</v>
      </c>
      <c r="G274" s="1">
        <v>53</v>
      </c>
      <c r="H274" s="1" t="s">
        <v>25</v>
      </c>
      <c r="I274" s="1" t="s">
        <v>26</v>
      </c>
      <c r="J274" s="1" t="s">
        <v>198</v>
      </c>
      <c r="K274" s="14">
        <v>4</v>
      </c>
      <c r="L274" s="1">
        <v>47085</v>
      </c>
      <c r="M274" s="1">
        <v>20</v>
      </c>
      <c r="N274" s="1">
        <f>Table1[[#This Row],[Discount]]/100</f>
        <v>0.2</v>
      </c>
      <c r="O274" s="1">
        <v>37668</v>
      </c>
      <c r="P274" s="1">
        <v>150672</v>
      </c>
      <c r="Q274" s="1">
        <v>200</v>
      </c>
      <c r="R274" s="1">
        <v>150872</v>
      </c>
      <c r="S274" s="1" t="s">
        <v>38</v>
      </c>
      <c r="T274" s="1" t="s">
        <v>118</v>
      </c>
      <c r="U274" s="1" t="s">
        <v>30</v>
      </c>
      <c r="V274" s="11">
        <v>1</v>
      </c>
      <c r="W274" s="18">
        <v>4</v>
      </c>
    </row>
    <row r="275" spans="1:23" x14ac:dyDescent="0.25">
      <c r="A275" s="2" t="s">
        <v>541</v>
      </c>
      <c r="B275" s="1" t="s">
        <v>158</v>
      </c>
      <c r="C275" s="8">
        <v>45944</v>
      </c>
      <c r="D275" s="1" t="s">
        <v>87</v>
      </c>
      <c r="E275" s="1" t="s">
        <v>87</v>
      </c>
      <c r="F275" s="1" t="s">
        <v>34</v>
      </c>
      <c r="G275" s="1">
        <v>50</v>
      </c>
      <c r="H275" s="1" t="s">
        <v>25</v>
      </c>
      <c r="I275" s="1" t="s">
        <v>88</v>
      </c>
      <c r="J275" s="1" t="s">
        <v>213</v>
      </c>
      <c r="K275" s="14">
        <v>5</v>
      </c>
      <c r="L275" s="1">
        <v>6918</v>
      </c>
      <c r="M275" s="1">
        <v>5</v>
      </c>
      <c r="N275" s="1">
        <f>Table1[[#This Row],[Discount]]/100</f>
        <v>0.05</v>
      </c>
      <c r="O275" s="1">
        <v>1729.5</v>
      </c>
      <c r="P275" s="1">
        <v>32860.5</v>
      </c>
      <c r="Q275" s="1">
        <v>47</v>
      </c>
      <c r="R275" s="1">
        <v>32907.5</v>
      </c>
      <c r="S275" s="1" t="s">
        <v>38</v>
      </c>
      <c r="T275" s="1" t="s">
        <v>29</v>
      </c>
      <c r="U275" s="1" t="s">
        <v>30</v>
      </c>
      <c r="V275" s="11">
        <v>1</v>
      </c>
      <c r="W275" s="18">
        <v>4</v>
      </c>
    </row>
    <row r="276" spans="1:23" x14ac:dyDescent="0.25">
      <c r="A276" s="2" t="s">
        <v>542</v>
      </c>
      <c r="B276" s="1" t="s">
        <v>543</v>
      </c>
      <c r="C276" s="8">
        <v>45958</v>
      </c>
      <c r="D276" s="1" t="s">
        <v>87</v>
      </c>
      <c r="E276" s="1" t="s">
        <v>87</v>
      </c>
      <c r="F276" s="1" t="s">
        <v>34</v>
      </c>
      <c r="G276" s="1">
        <v>19</v>
      </c>
      <c r="H276" s="1" t="s">
        <v>69</v>
      </c>
      <c r="I276" s="1" t="s">
        <v>58</v>
      </c>
      <c r="J276" s="1" t="s">
        <v>62</v>
      </c>
      <c r="K276" s="14">
        <v>4</v>
      </c>
      <c r="L276" s="1">
        <v>3252</v>
      </c>
      <c r="M276" s="1">
        <v>15</v>
      </c>
      <c r="N276" s="1">
        <f>Table1[[#This Row],[Discount]]/100</f>
        <v>0.15</v>
      </c>
      <c r="O276" s="1">
        <v>1951.2</v>
      </c>
      <c r="P276" s="1">
        <v>11056.8</v>
      </c>
      <c r="Q276" s="1">
        <v>249</v>
      </c>
      <c r="R276" s="1">
        <v>11305.8</v>
      </c>
      <c r="S276" s="1" t="s">
        <v>28</v>
      </c>
      <c r="T276" s="1" t="s">
        <v>118</v>
      </c>
      <c r="U276" s="1" t="s">
        <v>40</v>
      </c>
      <c r="V276" s="11">
        <v>7</v>
      </c>
      <c r="W276" s="18"/>
    </row>
    <row r="277" spans="1:23" x14ac:dyDescent="0.25">
      <c r="A277" s="2" t="s">
        <v>544</v>
      </c>
      <c r="B277" s="1" t="s">
        <v>361</v>
      </c>
      <c r="C277" s="8">
        <v>45862</v>
      </c>
      <c r="D277" s="1" t="s">
        <v>23</v>
      </c>
      <c r="E277" s="1" t="s">
        <v>23</v>
      </c>
      <c r="F277" s="1" t="s">
        <v>34</v>
      </c>
      <c r="G277" s="1">
        <v>39</v>
      </c>
      <c r="H277" s="1" t="s">
        <v>57</v>
      </c>
      <c r="I277" s="1" t="s">
        <v>74</v>
      </c>
      <c r="J277" s="1" t="s">
        <v>75</v>
      </c>
      <c r="K277" s="14">
        <v>3</v>
      </c>
      <c r="L277" s="1">
        <v>3292</v>
      </c>
      <c r="M277" s="1">
        <v>10</v>
      </c>
      <c r="N277" s="1">
        <f>Table1[[#This Row],[Discount]]/100</f>
        <v>0.1</v>
      </c>
      <c r="O277" s="1">
        <v>987.6</v>
      </c>
      <c r="P277" s="1">
        <v>8888.4</v>
      </c>
      <c r="Q277" s="1">
        <v>43</v>
      </c>
      <c r="R277" s="1">
        <v>8931.4</v>
      </c>
      <c r="S277" s="1" t="s">
        <v>38</v>
      </c>
      <c r="T277" s="1" t="s">
        <v>118</v>
      </c>
      <c r="U277" s="1" t="s">
        <v>30</v>
      </c>
      <c r="V277" s="11">
        <v>6</v>
      </c>
      <c r="W277" s="18">
        <v>3</v>
      </c>
    </row>
    <row r="278" spans="1:23" x14ac:dyDescent="0.25">
      <c r="A278" s="2" t="s">
        <v>545</v>
      </c>
      <c r="B278" s="1" t="s">
        <v>417</v>
      </c>
      <c r="C278" s="8">
        <v>45785</v>
      </c>
      <c r="D278" s="1" t="s">
        <v>33</v>
      </c>
      <c r="E278" s="1" t="s">
        <v>33</v>
      </c>
      <c r="F278" s="1" t="s">
        <v>34</v>
      </c>
      <c r="G278" s="1">
        <v>57</v>
      </c>
      <c r="H278" s="1" t="s">
        <v>50</v>
      </c>
      <c r="I278" s="1" t="s">
        <v>58</v>
      </c>
      <c r="J278" s="1" t="s">
        <v>62</v>
      </c>
      <c r="K278" s="14">
        <v>2</v>
      </c>
      <c r="L278" s="1">
        <v>3162</v>
      </c>
      <c r="M278" s="1">
        <v>10</v>
      </c>
      <c r="N278" s="1">
        <f>Table1[[#This Row],[Discount]]/100</f>
        <v>0.1</v>
      </c>
      <c r="O278" s="1">
        <v>632.4</v>
      </c>
      <c r="P278" s="1">
        <v>5691.6</v>
      </c>
      <c r="Q278" s="1">
        <v>71</v>
      </c>
      <c r="R278" s="1">
        <v>5762.6</v>
      </c>
      <c r="S278" s="1" t="s">
        <v>28</v>
      </c>
      <c r="T278" s="1" t="s">
        <v>29</v>
      </c>
      <c r="U278" s="1" t="s">
        <v>30</v>
      </c>
      <c r="V278" s="11">
        <v>7</v>
      </c>
      <c r="W278" s="18">
        <v>4</v>
      </c>
    </row>
    <row r="279" spans="1:23" x14ac:dyDescent="0.25">
      <c r="A279" s="2" t="s">
        <v>546</v>
      </c>
      <c r="B279" s="1" t="s">
        <v>547</v>
      </c>
      <c r="C279" s="8">
        <v>45952</v>
      </c>
      <c r="D279" s="1" t="s">
        <v>23</v>
      </c>
      <c r="E279" s="1" t="s">
        <v>23</v>
      </c>
      <c r="F279" s="1" t="s">
        <v>34</v>
      </c>
      <c r="G279" s="1">
        <v>35</v>
      </c>
      <c r="H279" s="1" t="s">
        <v>25</v>
      </c>
      <c r="I279" s="1" t="s">
        <v>45</v>
      </c>
      <c r="J279" s="1" t="s">
        <v>84</v>
      </c>
      <c r="K279" s="14">
        <v>1</v>
      </c>
      <c r="L279" s="1">
        <v>1600</v>
      </c>
      <c r="M279" s="1">
        <v>15</v>
      </c>
      <c r="N279" s="1">
        <f>Table1[[#This Row],[Discount]]/100</f>
        <v>0.15</v>
      </c>
      <c r="O279" s="1">
        <v>240</v>
      </c>
      <c r="P279" s="1">
        <v>1360</v>
      </c>
      <c r="Q279" s="1">
        <v>245</v>
      </c>
      <c r="R279" s="1">
        <v>1605</v>
      </c>
      <c r="S279" s="1" t="s">
        <v>38</v>
      </c>
      <c r="T279" s="1" t="s">
        <v>118</v>
      </c>
      <c r="U279" s="1" t="s">
        <v>80</v>
      </c>
      <c r="W279" s="18"/>
    </row>
    <row r="280" spans="1:23" x14ac:dyDescent="0.25">
      <c r="A280" s="2" t="s">
        <v>548</v>
      </c>
      <c r="B280" s="1" t="s">
        <v>520</v>
      </c>
      <c r="C280" s="8">
        <v>45747</v>
      </c>
      <c r="D280" s="1" t="s">
        <v>33</v>
      </c>
      <c r="E280" s="1" t="s">
        <v>33</v>
      </c>
      <c r="F280" s="1" t="s">
        <v>44</v>
      </c>
      <c r="G280" s="1">
        <v>25</v>
      </c>
      <c r="H280" s="1" t="s">
        <v>69</v>
      </c>
      <c r="I280" s="1" t="s">
        <v>58</v>
      </c>
      <c r="J280" s="1" t="s">
        <v>59</v>
      </c>
      <c r="K280" s="14">
        <v>1</v>
      </c>
      <c r="L280" s="1">
        <v>283</v>
      </c>
      <c r="M280" s="1">
        <v>10</v>
      </c>
      <c r="N280" s="1">
        <f>Table1[[#This Row],[Discount]]/100</f>
        <v>0.1</v>
      </c>
      <c r="O280" s="1">
        <v>28.3</v>
      </c>
      <c r="P280" s="1">
        <v>254.7</v>
      </c>
      <c r="Q280" s="1">
        <v>195</v>
      </c>
      <c r="R280" s="1">
        <v>449.7</v>
      </c>
      <c r="S280" s="1" t="s">
        <v>66</v>
      </c>
      <c r="T280" s="1" t="s">
        <v>39</v>
      </c>
      <c r="U280" s="1" t="s">
        <v>30</v>
      </c>
      <c r="V280" s="11">
        <v>4</v>
      </c>
      <c r="W280" s="18">
        <v>5</v>
      </c>
    </row>
    <row r="281" spans="1:23" x14ac:dyDescent="0.25">
      <c r="A281" s="2" t="s">
        <v>549</v>
      </c>
      <c r="B281" s="1" t="s">
        <v>280</v>
      </c>
      <c r="C281" s="8">
        <v>45971</v>
      </c>
      <c r="D281" s="1" t="s">
        <v>153</v>
      </c>
      <c r="E281" s="1" t="s">
        <v>153</v>
      </c>
      <c r="F281" s="1" t="s">
        <v>44</v>
      </c>
      <c r="G281" s="1">
        <v>41</v>
      </c>
      <c r="H281" s="1" t="s">
        <v>35</v>
      </c>
      <c r="I281" s="1" t="s">
        <v>36</v>
      </c>
      <c r="J281" s="1" t="s">
        <v>159</v>
      </c>
      <c r="K281" s="14">
        <v>4</v>
      </c>
      <c r="L281" s="1">
        <v>4893</v>
      </c>
      <c r="M281" s="1">
        <v>10</v>
      </c>
      <c r="N281" s="1">
        <f>Table1[[#This Row],[Discount]]/100</f>
        <v>0.1</v>
      </c>
      <c r="O281" s="1">
        <v>1957.2</v>
      </c>
      <c r="P281" s="1">
        <v>17614.8</v>
      </c>
      <c r="Q281" s="1">
        <v>140</v>
      </c>
      <c r="R281" s="1">
        <v>17754.8</v>
      </c>
      <c r="S281" s="1" t="s">
        <v>93</v>
      </c>
      <c r="T281" s="1" t="s">
        <v>29</v>
      </c>
      <c r="U281" s="1" t="s">
        <v>30</v>
      </c>
      <c r="V281" s="11">
        <v>3</v>
      </c>
      <c r="W281" s="18">
        <v>3.5</v>
      </c>
    </row>
    <row r="282" spans="1:23" x14ac:dyDescent="0.25">
      <c r="A282" s="2" t="s">
        <v>550</v>
      </c>
      <c r="B282" s="1" t="s">
        <v>551</v>
      </c>
      <c r="C282" s="8">
        <v>45796</v>
      </c>
      <c r="D282" s="1" t="s">
        <v>140</v>
      </c>
      <c r="E282" s="1" t="s">
        <v>141</v>
      </c>
      <c r="F282" s="1" t="s">
        <v>44</v>
      </c>
      <c r="G282" s="1">
        <v>33</v>
      </c>
      <c r="H282" s="1" t="s">
        <v>35</v>
      </c>
      <c r="I282" s="1" t="s">
        <v>88</v>
      </c>
      <c r="J282" s="1" t="s">
        <v>207</v>
      </c>
      <c r="K282" s="14">
        <v>4</v>
      </c>
      <c r="L282" s="1">
        <v>3247</v>
      </c>
      <c r="M282" s="1">
        <v>25</v>
      </c>
      <c r="N282" s="1">
        <f>Table1[[#This Row],[Discount]]/100</f>
        <v>0.25</v>
      </c>
      <c r="O282" s="1">
        <v>3247</v>
      </c>
      <c r="P282" s="1">
        <v>9741</v>
      </c>
      <c r="Q282" s="1">
        <v>45</v>
      </c>
      <c r="R282" s="1">
        <v>9786</v>
      </c>
      <c r="S282" s="1" t="s">
        <v>47</v>
      </c>
      <c r="T282" s="1" t="s">
        <v>29</v>
      </c>
      <c r="U282" s="1" t="s">
        <v>30</v>
      </c>
      <c r="V282" s="11">
        <v>7</v>
      </c>
      <c r="W282" s="18">
        <v>4.5</v>
      </c>
    </row>
    <row r="283" spans="1:23" x14ac:dyDescent="0.25">
      <c r="A283" s="2" t="s">
        <v>552</v>
      </c>
      <c r="B283" s="1" t="s">
        <v>553</v>
      </c>
      <c r="C283" s="8">
        <v>45786</v>
      </c>
      <c r="D283" s="1" t="s">
        <v>56</v>
      </c>
      <c r="E283" s="1" t="s">
        <v>56</v>
      </c>
      <c r="F283" s="1" t="s">
        <v>44</v>
      </c>
      <c r="G283" s="1">
        <v>54</v>
      </c>
      <c r="H283" s="1" t="s">
        <v>50</v>
      </c>
      <c r="I283" s="1" t="s">
        <v>45</v>
      </c>
      <c r="J283" s="1" t="s">
        <v>46</v>
      </c>
      <c r="K283" s="14">
        <v>2</v>
      </c>
      <c r="L283" s="1">
        <v>2197</v>
      </c>
      <c r="M283" s="1">
        <v>10</v>
      </c>
      <c r="N283" s="1">
        <f>Table1[[#This Row],[Discount]]/100</f>
        <v>0.1</v>
      </c>
      <c r="O283" s="1">
        <v>439.4</v>
      </c>
      <c r="P283" s="1">
        <v>3954.6</v>
      </c>
      <c r="Q283" s="1">
        <v>96</v>
      </c>
      <c r="R283" s="1">
        <v>4050.6</v>
      </c>
      <c r="S283" s="1" t="s">
        <v>66</v>
      </c>
      <c r="T283" s="1" t="s">
        <v>39</v>
      </c>
      <c r="U283" s="1" t="s">
        <v>53</v>
      </c>
      <c r="W283" s="18"/>
    </row>
    <row r="284" spans="1:23" x14ac:dyDescent="0.25">
      <c r="A284" s="2" t="s">
        <v>554</v>
      </c>
      <c r="B284" s="1" t="s">
        <v>555</v>
      </c>
      <c r="C284" s="8">
        <v>45789</v>
      </c>
      <c r="D284" s="1" t="s">
        <v>153</v>
      </c>
      <c r="E284" s="1" t="s">
        <v>153</v>
      </c>
      <c r="F284" s="1" t="s">
        <v>44</v>
      </c>
      <c r="G284" s="1">
        <v>19</v>
      </c>
      <c r="H284" s="1" t="s">
        <v>25</v>
      </c>
      <c r="I284" s="1" t="s">
        <v>74</v>
      </c>
      <c r="J284" s="1" t="s">
        <v>97</v>
      </c>
      <c r="K284" s="14">
        <v>4</v>
      </c>
      <c r="L284" s="1">
        <v>4085</v>
      </c>
      <c r="M284" s="1">
        <v>20</v>
      </c>
      <c r="N284" s="1">
        <f>Table1[[#This Row],[Discount]]/100</f>
        <v>0.2</v>
      </c>
      <c r="O284" s="1">
        <v>3268</v>
      </c>
      <c r="P284" s="1">
        <v>13072</v>
      </c>
      <c r="Q284" s="1">
        <v>227</v>
      </c>
      <c r="R284" s="1">
        <v>13299</v>
      </c>
      <c r="S284" s="1" t="s">
        <v>47</v>
      </c>
      <c r="T284" s="1" t="s">
        <v>29</v>
      </c>
      <c r="U284" s="1" t="s">
        <v>30</v>
      </c>
      <c r="V284" s="11">
        <v>3</v>
      </c>
      <c r="W284" s="18">
        <v>4</v>
      </c>
    </row>
    <row r="285" spans="1:23" x14ac:dyDescent="0.25">
      <c r="A285" s="2" t="s">
        <v>556</v>
      </c>
      <c r="B285" s="1" t="s">
        <v>82</v>
      </c>
      <c r="C285" s="8">
        <v>45853</v>
      </c>
      <c r="D285" s="1" t="s">
        <v>73</v>
      </c>
      <c r="E285" s="1" t="s">
        <v>73</v>
      </c>
      <c r="F285" s="1" t="s">
        <v>34</v>
      </c>
      <c r="G285" s="1">
        <v>36</v>
      </c>
      <c r="H285" s="1" t="s">
        <v>35</v>
      </c>
      <c r="I285" s="1" t="s">
        <v>36</v>
      </c>
      <c r="J285" s="1" t="s">
        <v>37</v>
      </c>
      <c r="K285" s="14">
        <v>2</v>
      </c>
      <c r="L285" s="1">
        <v>6746</v>
      </c>
      <c r="M285" s="1">
        <v>25</v>
      </c>
      <c r="N285" s="1">
        <f>Table1[[#This Row],[Discount]]/100</f>
        <v>0.25</v>
      </c>
      <c r="O285" s="1">
        <v>3373</v>
      </c>
      <c r="P285" s="1">
        <v>10119</v>
      </c>
      <c r="Q285" s="1">
        <v>40</v>
      </c>
      <c r="R285" s="1">
        <v>10159</v>
      </c>
      <c r="S285" s="1" t="s">
        <v>66</v>
      </c>
      <c r="T285" s="1" t="s">
        <v>118</v>
      </c>
      <c r="U285" s="1" t="s">
        <v>30</v>
      </c>
      <c r="V285" s="11">
        <v>5</v>
      </c>
      <c r="W285" s="18">
        <v>4</v>
      </c>
    </row>
    <row r="286" spans="1:23" x14ac:dyDescent="0.25">
      <c r="A286" s="2" t="s">
        <v>557</v>
      </c>
      <c r="B286" s="1" t="s">
        <v>558</v>
      </c>
      <c r="C286" s="8">
        <v>46021</v>
      </c>
      <c r="D286" s="1" t="s">
        <v>96</v>
      </c>
      <c r="E286" s="1" t="s">
        <v>96</v>
      </c>
      <c r="F286" s="1" t="s">
        <v>44</v>
      </c>
      <c r="G286" s="1">
        <v>56</v>
      </c>
      <c r="H286" s="1" t="s">
        <v>57</v>
      </c>
      <c r="I286" s="1" t="s">
        <v>36</v>
      </c>
      <c r="J286" s="1" t="s">
        <v>37</v>
      </c>
      <c r="K286" s="14">
        <v>5</v>
      </c>
      <c r="L286" s="1">
        <v>2269</v>
      </c>
      <c r="M286" s="1">
        <v>10</v>
      </c>
      <c r="N286" s="1">
        <f>Table1[[#This Row],[Discount]]/100</f>
        <v>0.1</v>
      </c>
      <c r="O286" s="1">
        <v>1134.5</v>
      </c>
      <c r="P286" s="1">
        <v>10210.5</v>
      </c>
      <c r="Q286" s="1">
        <v>94</v>
      </c>
      <c r="R286" s="1">
        <v>10304.5</v>
      </c>
      <c r="S286" s="1" t="s">
        <v>38</v>
      </c>
      <c r="T286" s="1" t="s">
        <v>29</v>
      </c>
      <c r="U286" s="1" t="s">
        <v>30</v>
      </c>
      <c r="V286" s="11">
        <v>3</v>
      </c>
      <c r="W286" s="18">
        <v>5</v>
      </c>
    </row>
    <row r="287" spans="1:23" x14ac:dyDescent="0.25">
      <c r="A287" s="2" t="s">
        <v>559</v>
      </c>
      <c r="B287" s="1" t="s">
        <v>95</v>
      </c>
      <c r="C287" s="8">
        <v>46016</v>
      </c>
      <c r="D287" s="1" t="s">
        <v>73</v>
      </c>
      <c r="E287" s="1" t="s">
        <v>73</v>
      </c>
      <c r="F287" s="1" t="s">
        <v>44</v>
      </c>
      <c r="G287" s="1">
        <v>23</v>
      </c>
      <c r="H287" s="1" t="s">
        <v>50</v>
      </c>
      <c r="I287" s="1" t="s">
        <v>58</v>
      </c>
      <c r="J287" s="1" t="s">
        <v>65</v>
      </c>
      <c r="K287" s="14">
        <v>4</v>
      </c>
      <c r="L287" s="1">
        <v>3130</v>
      </c>
      <c r="M287" s="1">
        <v>25</v>
      </c>
      <c r="N287" s="1">
        <f>Table1[[#This Row],[Discount]]/100</f>
        <v>0.25</v>
      </c>
      <c r="O287" s="1">
        <v>3130</v>
      </c>
      <c r="P287" s="1">
        <v>9390</v>
      </c>
      <c r="Q287" s="1">
        <v>210</v>
      </c>
      <c r="R287" s="1">
        <v>9600</v>
      </c>
      <c r="S287" s="1" t="s">
        <v>28</v>
      </c>
      <c r="T287" s="1" t="s">
        <v>39</v>
      </c>
      <c r="U287" s="1" t="s">
        <v>30</v>
      </c>
      <c r="V287" s="11">
        <v>6</v>
      </c>
      <c r="W287" s="18">
        <v>3.5</v>
      </c>
    </row>
    <row r="288" spans="1:23" x14ac:dyDescent="0.25">
      <c r="A288" s="2" t="s">
        <v>560</v>
      </c>
      <c r="B288" s="1" t="s">
        <v>462</v>
      </c>
      <c r="C288" s="8">
        <v>45857</v>
      </c>
      <c r="D288" s="1" t="s">
        <v>107</v>
      </c>
      <c r="E288" s="1" t="s">
        <v>107</v>
      </c>
      <c r="F288" s="1" t="s">
        <v>44</v>
      </c>
      <c r="G288" s="1">
        <v>32</v>
      </c>
      <c r="H288" s="1" t="s">
        <v>57</v>
      </c>
      <c r="I288" s="1" t="s">
        <v>45</v>
      </c>
      <c r="J288" s="1" t="s">
        <v>84</v>
      </c>
      <c r="K288" s="14">
        <v>1</v>
      </c>
      <c r="L288" s="1">
        <v>420</v>
      </c>
      <c r="M288" s="1">
        <v>20</v>
      </c>
      <c r="N288" s="1">
        <f>Table1[[#This Row],[Discount]]/100</f>
        <v>0.2</v>
      </c>
      <c r="O288" s="1">
        <v>84</v>
      </c>
      <c r="P288" s="1">
        <v>336</v>
      </c>
      <c r="Q288" s="1">
        <v>187</v>
      </c>
      <c r="R288" s="1">
        <v>523</v>
      </c>
      <c r="S288" s="1" t="s">
        <v>66</v>
      </c>
      <c r="T288" s="1" t="s">
        <v>39</v>
      </c>
      <c r="U288" s="1" t="s">
        <v>30</v>
      </c>
      <c r="V288" s="11">
        <v>3</v>
      </c>
      <c r="W288" s="18">
        <v>3.5</v>
      </c>
    </row>
    <row r="289" spans="1:23" x14ac:dyDescent="0.25">
      <c r="A289" s="2" t="s">
        <v>561</v>
      </c>
      <c r="B289" s="1" t="s">
        <v>562</v>
      </c>
      <c r="C289" s="8">
        <v>45797</v>
      </c>
      <c r="D289" s="1" t="s">
        <v>56</v>
      </c>
      <c r="E289" s="1" t="s">
        <v>56</v>
      </c>
      <c r="F289" s="1" t="s">
        <v>24</v>
      </c>
      <c r="G289" s="1">
        <v>46</v>
      </c>
      <c r="H289" s="1" t="s">
        <v>25</v>
      </c>
      <c r="I289" s="1" t="s">
        <v>58</v>
      </c>
      <c r="J289" s="1" t="s">
        <v>59</v>
      </c>
      <c r="K289" s="14">
        <v>1</v>
      </c>
      <c r="L289" s="1">
        <v>3689</v>
      </c>
      <c r="M289" s="1">
        <v>15</v>
      </c>
      <c r="N289" s="1">
        <f>Table1[[#This Row],[Discount]]/100</f>
        <v>0.15</v>
      </c>
      <c r="O289" s="1">
        <v>553.35</v>
      </c>
      <c r="P289" s="1">
        <v>3135.65</v>
      </c>
      <c r="Q289" s="1">
        <v>158</v>
      </c>
      <c r="R289" s="1">
        <v>3293.65</v>
      </c>
      <c r="S289" s="1" t="s">
        <v>47</v>
      </c>
      <c r="T289" s="1" t="s">
        <v>29</v>
      </c>
      <c r="U289" s="1" t="s">
        <v>70</v>
      </c>
      <c r="W289" s="18"/>
    </row>
    <row r="290" spans="1:23" x14ac:dyDescent="0.25">
      <c r="A290" s="2" t="s">
        <v>563</v>
      </c>
      <c r="B290" s="1" t="s">
        <v>564</v>
      </c>
      <c r="C290" s="8">
        <v>45703</v>
      </c>
      <c r="D290" s="1" t="s">
        <v>73</v>
      </c>
      <c r="E290" s="1" t="s">
        <v>73</v>
      </c>
      <c r="F290" s="1" t="s">
        <v>44</v>
      </c>
      <c r="G290" s="1">
        <v>37</v>
      </c>
      <c r="H290" s="1" t="s">
        <v>35</v>
      </c>
      <c r="I290" s="1" t="s">
        <v>45</v>
      </c>
      <c r="J290" s="1" t="s">
        <v>84</v>
      </c>
      <c r="K290" s="14">
        <v>4</v>
      </c>
      <c r="L290" s="1">
        <v>1348</v>
      </c>
      <c r="M290" s="1">
        <v>15</v>
      </c>
      <c r="N290" s="1">
        <f>Table1[[#This Row],[Discount]]/100</f>
        <v>0.15</v>
      </c>
      <c r="O290" s="1">
        <v>808.8</v>
      </c>
      <c r="P290" s="1">
        <v>4583.2</v>
      </c>
      <c r="Q290" s="1">
        <v>226</v>
      </c>
      <c r="R290" s="1">
        <v>4809.2</v>
      </c>
      <c r="S290" s="1" t="s">
        <v>38</v>
      </c>
      <c r="T290" s="1" t="s">
        <v>39</v>
      </c>
      <c r="U290" s="1" t="s">
        <v>30</v>
      </c>
      <c r="V290" s="11">
        <v>4</v>
      </c>
      <c r="W290" s="18">
        <v>4</v>
      </c>
    </row>
    <row r="291" spans="1:23" x14ac:dyDescent="0.25">
      <c r="A291" s="2" t="s">
        <v>565</v>
      </c>
      <c r="B291" s="1" t="s">
        <v>566</v>
      </c>
      <c r="C291" s="8">
        <v>45811</v>
      </c>
      <c r="D291" s="1" t="s">
        <v>153</v>
      </c>
      <c r="E291" s="1" t="s">
        <v>153</v>
      </c>
      <c r="F291" s="1" t="s">
        <v>44</v>
      </c>
      <c r="G291" s="1">
        <v>45</v>
      </c>
      <c r="H291" s="1" t="s">
        <v>25</v>
      </c>
      <c r="I291" s="1" t="s">
        <v>58</v>
      </c>
      <c r="J291" s="1" t="s">
        <v>59</v>
      </c>
      <c r="K291" s="14">
        <v>3</v>
      </c>
      <c r="L291" s="1">
        <v>2967</v>
      </c>
      <c r="M291" s="1">
        <v>15</v>
      </c>
      <c r="N291" s="1">
        <f>Table1[[#This Row],[Discount]]/100</f>
        <v>0.15</v>
      </c>
      <c r="O291" s="1">
        <v>1335.15</v>
      </c>
      <c r="P291" s="1">
        <v>7565.85</v>
      </c>
      <c r="Q291" s="1">
        <v>142</v>
      </c>
      <c r="R291" s="1">
        <v>7707.85</v>
      </c>
      <c r="S291" s="1" t="s">
        <v>47</v>
      </c>
      <c r="T291" s="1" t="s">
        <v>39</v>
      </c>
      <c r="U291" s="1" t="s">
        <v>70</v>
      </c>
      <c r="W291" s="18"/>
    </row>
    <row r="292" spans="1:23" x14ac:dyDescent="0.25">
      <c r="A292" s="2" t="s">
        <v>567</v>
      </c>
      <c r="B292" s="1" t="s">
        <v>568</v>
      </c>
      <c r="C292" s="8">
        <v>45851</v>
      </c>
      <c r="D292" s="1" t="s">
        <v>120</v>
      </c>
      <c r="E292" s="1" t="s">
        <v>120</v>
      </c>
      <c r="F292" s="1" t="s">
        <v>44</v>
      </c>
      <c r="G292" s="1">
        <v>34</v>
      </c>
      <c r="H292" s="1" t="s">
        <v>35</v>
      </c>
      <c r="I292" s="1" t="s">
        <v>88</v>
      </c>
      <c r="J292" s="1" t="s">
        <v>213</v>
      </c>
      <c r="K292" s="14">
        <v>4</v>
      </c>
      <c r="L292" s="1">
        <v>6767</v>
      </c>
      <c r="M292" s="1">
        <v>25</v>
      </c>
      <c r="N292" s="1">
        <f>Table1[[#This Row],[Discount]]/100</f>
        <v>0.25</v>
      </c>
      <c r="O292" s="1">
        <v>6767</v>
      </c>
      <c r="P292" s="1">
        <v>20301</v>
      </c>
      <c r="Q292" s="1">
        <v>232</v>
      </c>
      <c r="R292" s="1">
        <v>20533</v>
      </c>
      <c r="S292" s="1" t="s">
        <v>52</v>
      </c>
      <c r="T292" s="1" t="s">
        <v>29</v>
      </c>
      <c r="U292" s="1" t="s">
        <v>40</v>
      </c>
      <c r="V292" s="11">
        <v>2</v>
      </c>
      <c r="W292" s="18"/>
    </row>
    <row r="293" spans="1:23" x14ac:dyDescent="0.25">
      <c r="A293" s="2" t="s">
        <v>569</v>
      </c>
      <c r="B293" s="1" t="s">
        <v>570</v>
      </c>
      <c r="C293" s="8">
        <v>45984</v>
      </c>
      <c r="D293" s="1" t="s">
        <v>140</v>
      </c>
      <c r="E293" s="1" t="s">
        <v>141</v>
      </c>
      <c r="F293" s="1" t="s">
        <v>24</v>
      </c>
      <c r="G293" s="1">
        <v>57</v>
      </c>
      <c r="H293" s="1" t="s">
        <v>25</v>
      </c>
      <c r="I293" s="1" t="s">
        <v>36</v>
      </c>
      <c r="J293" s="1" t="s">
        <v>156</v>
      </c>
      <c r="K293" s="14">
        <v>3</v>
      </c>
      <c r="L293" s="1">
        <v>960</v>
      </c>
      <c r="M293" s="1">
        <v>5</v>
      </c>
      <c r="N293" s="1">
        <f>Table1[[#This Row],[Discount]]/100</f>
        <v>0.05</v>
      </c>
      <c r="O293" s="1">
        <v>144</v>
      </c>
      <c r="P293" s="1">
        <v>2736</v>
      </c>
      <c r="Q293" s="1">
        <v>48</v>
      </c>
      <c r="R293" s="1">
        <v>2784</v>
      </c>
      <c r="S293" s="1" t="s">
        <v>93</v>
      </c>
      <c r="T293" s="1" t="s">
        <v>39</v>
      </c>
      <c r="U293" s="1" t="s">
        <v>30</v>
      </c>
      <c r="V293" s="11">
        <v>4</v>
      </c>
      <c r="W293" s="18">
        <v>4</v>
      </c>
    </row>
    <row r="294" spans="1:23" x14ac:dyDescent="0.25">
      <c r="A294" s="2" t="s">
        <v>571</v>
      </c>
      <c r="B294" s="1" t="s">
        <v>254</v>
      </c>
      <c r="C294" s="8">
        <v>45662</v>
      </c>
      <c r="D294" s="1" t="s">
        <v>83</v>
      </c>
      <c r="E294" s="1" t="s">
        <v>83</v>
      </c>
      <c r="F294" s="1" t="s">
        <v>34</v>
      </c>
      <c r="G294" s="1">
        <v>23</v>
      </c>
      <c r="H294" s="1" t="s">
        <v>57</v>
      </c>
      <c r="I294" s="1" t="s">
        <v>26</v>
      </c>
      <c r="J294" s="1" t="s">
        <v>51</v>
      </c>
      <c r="K294" s="14">
        <v>1</v>
      </c>
      <c r="L294" s="1">
        <v>70919</v>
      </c>
      <c r="M294" s="1">
        <v>5</v>
      </c>
      <c r="N294" s="1">
        <f>Table1[[#This Row],[Discount]]/100</f>
        <v>0.05</v>
      </c>
      <c r="O294" s="1">
        <v>3545.95</v>
      </c>
      <c r="P294" s="1">
        <v>67373.05</v>
      </c>
      <c r="Q294" s="1">
        <v>206</v>
      </c>
      <c r="R294" s="1">
        <v>67579.05</v>
      </c>
      <c r="S294" s="1" t="s">
        <v>47</v>
      </c>
      <c r="T294" s="1" t="s">
        <v>118</v>
      </c>
      <c r="U294" s="1" t="s">
        <v>40</v>
      </c>
      <c r="V294" s="11">
        <v>2</v>
      </c>
      <c r="W294" s="18"/>
    </row>
    <row r="295" spans="1:23" x14ac:dyDescent="0.25">
      <c r="A295" s="2" t="s">
        <v>572</v>
      </c>
      <c r="B295" s="1" t="s">
        <v>333</v>
      </c>
      <c r="C295" s="8">
        <v>45858</v>
      </c>
      <c r="D295" s="1" t="s">
        <v>96</v>
      </c>
      <c r="E295" s="1" t="s">
        <v>96</v>
      </c>
      <c r="F295" s="1" t="s">
        <v>34</v>
      </c>
      <c r="G295" s="1">
        <v>52</v>
      </c>
      <c r="H295" s="1" t="s">
        <v>69</v>
      </c>
      <c r="I295" s="1" t="s">
        <v>88</v>
      </c>
      <c r="J295" s="1" t="s">
        <v>162</v>
      </c>
      <c r="K295" s="14">
        <v>3</v>
      </c>
      <c r="L295" s="1">
        <v>5710</v>
      </c>
      <c r="M295" s="1">
        <v>5</v>
      </c>
      <c r="N295" s="1">
        <f>Table1[[#This Row],[Discount]]/100</f>
        <v>0.05</v>
      </c>
      <c r="O295" s="1">
        <v>856.5</v>
      </c>
      <c r="P295" s="1">
        <v>16273.5</v>
      </c>
      <c r="Q295" s="1">
        <v>218</v>
      </c>
      <c r="R295" s="1">
        <v>16491.5</v>
      </c>
      <c r="S295" s="1" t="s">
        <v>93</v>
      </c>
      <c r="T295" s="1" t="s">
        <v>39</v>
      </c>
      <c r="U295" s="1" t="s">
        <v>30</v>
      </c>
      <c r="V295" s="11">
        <v>1</v>
      </c>
      <c r="W295" s="18">
        <v>4</v>
      </c>
    </row>
    <row r="296" spans="1:23" x14ac:dyDescent="0.25">
      <c r="A296" s="2" t="s">
        <v>573</v>
      </c>
      <c r="B296" s="1" t="s">
        <v>499</v>
      </c>
      <c r="C296" s="8">
        <v>45900</v>
      </c>
      <c r="D296" s="1" t="s">
        <v>43</v>
      </c>
      <c r="E296" s="1" t="s">
        <v>43</v>
      </c>
      <c r="F296" s="1" t="s">
        <v>24</v>
      </c>
      <c r="G296" s="1">
        <v>37</v>
      </c>
      <c r="H296" s="1" t="s">
        <v>50</v>
      </c>
      <c r="I296" s="1" t="s">
        <v>36</v>
      </c>
      <c r="J296" s="1" t="s">
        <v>159</v>
      </c>
      <c r="K296" s="14">
        <v>4</v>
      </c>
      <c r="L296" s="1">
        <v>6423</v>
      </c>
      <c r="M296" s="1">
        <v>0</v>
      </c>
      <c r="N296" s="1">
        <f>Table1[[#This Row],[Discount]]/100</f>
        <v>0</v>
      </c>
      <c r="O296" s="1">
        <v>0</v>
      </c>
      <c r="P296" s="1">
        <v>25692</v>
      </c>
      <c r="Q296" s="1">
        <v>73</v>
      </c>
      <c r="R296" s="1">
        <v>25765</v>
      </c>
      <c r="S296" s="1" t="s">
        <v>66</v>
      </c>
      <c r="T296" s="1" t="s">
        <v>29</v>
      </c>
      <c r="U296" s="1" t="s">
        <v>30</v>
      </c>
      <c r="V296" s="11">
        <v>4</v>
      </c>
      <c r="W296" s="18">
        <v>4</v>
      </c>
    </row>
    <row r="297" spans="1:23" x14ac:dyDescent="0.25">
      <c r="A297" s="2" t="s">
        <v>574</v>
      </c>
      <c r="B297" s="1" t="s">
        <v>575</v>
      </c>
      <c r="C297" s="8">
        <v>45982</v>
      </c>
      <c r="D297" s="1" t="s">
        <v>120</v>
      </c>
      <c r="E297" s="1" t="s">
        <v>120</v>
      </c>
      <c r="F297" s="1" t="s">
        <v>34</v>
      </c>
      <c r="G297" s="1">
        <v>38</v>
      </c>
      <c r="H297" s="1" t="s">
        <v>69</v>
      </c>
      <c r="I297" s="1" t="s">
        <v>26</v>
      </c>
      <c r="J297" s="1" t="s">
        <v>198</v>
      </c>
      <c r="K297" s="14">
        <v>4</v>
      </c>
      <c r="L297" s="1">
        <v>39966</v>
      </c>
      <c r="M297" s="1">
        <v>5</v>
      </c>
      <c r="N297" s="1">
        <f>Table1[[#This Row],[Discount]]/100</f>
        <v>0.05</v>
      </c>
      <c r="O297" s="1">
        <v>7993.2</v>
      </c>
      <c r="P297" s="1">
        <v>151870.79999999999</v>
      </c>
      <c r="Q297" s="1">
        <v>80</v>
      </c>
      <c r="R297" s="1">
        <v>151950.79999999999</v>
      </c>
      <c r="S297" s="1" t="s">
        <v>52</v>
      </c>
      <c r="T297" s="1" t="s">
        <v>39</v>
      </c>
      <c r="U297" s="1" t="s">
        <v>70</v>
      </c>
      <c r="W297" s="18"/>
    </row>
    <row r="298" spans="1:23" x14ac:dyDescent="0.25">
      <c r="A298" s="2" t="s">
        <v>576</v>
      </c>
      <c r="B298" s="1" t="s">
        <v>432</v>
      </c>
      <c r="C298" s="8">
        <v>46009</v>
      </c>
      <c r="D298" s="1" t="s">
        <v>96</v>
      </c>
      <c r="E298" s="1" t="s">
        <v>96</v>
      </c>
      <c r="F298" s="1" t="s">
        <v>34</v>
      </c>
      <c r="G298" s="1">
        <v>39</v>
      </c>
      <c r="H298" s="1" t="s">
        <v>69</v>
      </c>
      <c r="I298" s="1" t="s">
        <v>74</v>
      </c>
      <c r="J298" s="1" t="s">
        <v>137</v>
      </c>
      <c r="K298" s="14">
        <v>1</v>
      </c>
      <c r="L298" s="1">
        <v>5284</v>
      </c>
      <c r="M298" s="1">
        <v>5</v>
      </c>
      <c r="N298" s="1">
        <f>Table1[[#This Row],[Discount]]/100</f>
        <v>0.05</v>
      </c>
      <c r="O298" s="1">
        <v>264.2</v>
      </c>
      <c r="P298" s="1">
        <v>5019.8</v>
      </c>
      <c r="Q298" s="1">
        <v>43</v>
      </c>
      <c r="R298" s="1">
        <v>5062.8</v>
      </c>
      <c r="S298" s="1" t="s">
        <v>66</v>
      </c>
      <c r="T298" s="1" t="s">
        <v>39</v>
      </c>
      <c r="U298" s="1" t="s">
        <v>30</v>
      </c>
      <c r="V298" s="11">
        <v>5</v>
      </c>
      <c r="W298" s="18">
        <v>5</v>
      </c>
    </row>
    <row r="299" spans="1:23" x14ac:dyDescent="0.25">
      <c r="A299" s="2" t="s">
        <v>577</v>
      </c>
      <c r="B299" s="1" t="s">
        <v>358</v>
      </c>
      <c r="C299" s="8">
        <v>45756</v>
      </c>
      <c r="D299" s="1" t="s">
        <v>102</v>
      </c>
      <c r="E299" s="1" t="s">
        <v>103</v>
      </c>
      <c r="F299" s="1" t="s">
        <v>24</v>
      </c>
      <c r="G299" s="1">
        <v>42</v>
      </c>
      <c r="H299" s="1" t="s">
        <v>35</v>
      </c>
      <c r="I299" s="1" t="s">
        <v>58</v>
      </c>
      <c r="J299" s="1" t="s">
        <v>104</v>
      </c>
      <c r="K299" s="14">
        <v>2</v>
      </c>
      <c r="L299" s="1">
        <v>3379</v>
      </c>
      <c r="M299" s="1">
        <v>10</v>
      </c>
      <c r="N299" s="1">
        <f>Table1[[#This Row],[Discount]]/100</f>
        <v>0.1</v>
      </c>
      <c r="O299" s="1">
        <v>675.8</v>
      </c>
      <c r="P299" s="1">
        <v>6082.2</v>
      </c>
      <c r="Q299" s="1">
        <v>132</v>
      </c>
      <c r="R299" s="1">
        <v>6214.2</v>
      </c>
      <c r="S299" s="1" t="s">
        <v>38</v>
      </c>
      <c r="T299" s="1" t="s">
        <v>39</v>
      </c>
      <c r="U299" s="1" t="s">
        <v>53</v>
      </c>
      <c r="W299" s="18"/>
    </row>
    <row r="300" spans="1:23" x14ac:dyDescent="0.25">
      <c r="A300" s="2" t="s">
        <v>578</v>
      </c>
      <c r="B300" s="1" t="s">
        <v>439</v>
      </c>
      <c r="C300" s="8">
        <v>45897</v>
      </c>
      <c r="D300" s="1" t="s">
        <v>78</v>
      </c>
      <c r="E300" s="1" t="s">
        <v>78</v>
      </c>
      <c r="F300" s="1" t="s">
        <v>34</v>
      </c>
      <c r="G300" s="1">
        <v>56</v>
      </c>
      <c r="H300" s="1" t="s">
        <v>25</v>
      </c>
      <c r="I300" s="1" t="s">
        <v>36</v>
      </c>
      <c r="J300" s="1" t="s">
        <v>92</v>
      </c>
      <c r="K300" s="14">
        <v>5</v>
      </c>
      <c r="L300" s="1">
        <v>1928</v>
      </c>
      <c r="M300" s="1">
        <v>20</v>
      </c>
      <c r="N300" s="1">
        <f>Table1[[#This Row],[Discount]]/100</f>
        <v>0.2</v>
      </c>
      <c r="O300" s="1">
        <v>1928</v>
      </c>
      <c r="P300" s="1">
        <v>7712</v>
      </c>
      <c r="Q300" s="1">
        <v>207</v>
      </c>
      <c r="R300" s="1">
        <v>7919</v>
      </c>
      <c r="S300" s="1" t="s">
        <v>47</v>
      </c>
      <c r="T300" s="1" t="s">
        <v>118</v>
      </c>
      <c r="U300" s="1" t="s">
        <v>30</v>
      </c>
      <c r="V300" s="11">
        <v>3</v>
      </c>
      <c r="W300" s="18">
        <v>4.5</v>
      </c>
    </row>
    <row r="301" spans="1:23" x14ac:dyDescent="0.25">
      <c r="A301" s="2" t="s">
        <v>579</v>
      </c>
      <c r="B301" s="1" t="s">
        <v>423</v>
      </c>
      <c r="C301" s="8">
        <v>45975</v>
      </c>
      <c r="D301" s="1" t="s">
        <v>110</v>
      </c>
      <c r="E301" s="1" t="s">
        <v>110</v>
      </c>
      <c r="F301" s="1" t="s">
        <v>24</v>
      </c>
      <c r="G301" s="1">
        <v>38</v>
      </c>
      <c r="H301" s="1" t="s">
        <v>25</v>
      </c>
      <c r="I301" s="1" t="s">
        <v>88</v>
      </c>
      <c r="J301" s="1" t="s">
        <v>117</v>
      </c>
      <c r="K301" s="14">
        <v>3</v>
      </c>
      <c r="L301" s="1">
        <v>8589</v>
      </c>
      <c r="M301" s="1">
        <v>0</v>
      </c>
      <c r="N301" s="1">
        <f>Table1[[#This Row],[Discount]]/100</f>
        <v>0</v>
      </c>
      <c r="O301" s="1">
        <v>0</v>
      </c>
      <c r="P301" s="1">
        <v>25767</v>
      </c>
      <c r="Q301" s="1">
        <v>113</v>
      </c>
      <c r="R301" s="1">
        <v>25880</v>
      </c>
      <c r="S301" s="1" t="s">
        <v>93</v>
      </c>
      <c r="T301" s="1" t="s">
        <v>39</v>
      </c>
      <c r="U301" s="1" t="s">
        <v>30</v>
      </c>
      <c r="V301" s="11">
        <v>2</v>
      </c>
      <c r="W301" s="18">
        <v>5</v>
      </c>
    </row>
    <row r="302" spans="1:23" x14ac:dyDescent="0.25">
      <c r="A302" s="2" t="s">
        <v>580</v>
      </c>
      <c r="B302" s="1" t="s">
        <v>527</v>
      </c>
      <c r="C302" s="8">
        <v>45995</v>
      </c>
      <c r="D302" s="1" t="s">
        <v>120</v>
      </c>
      <c r="E302" s="1" t="s">
        <v>120</v>
      </c>
      <c r="F302" s="1" t="s">
        <v>34</v>
      </c>
      <c r="G302" s="1">
        <v>20</v>
      </c>
      <c r="H302" s="1" t="s">
        <v>35</v>
      </c>
      <c r="I302" s="1" t="s">
        <v>36</v>
      </c>
      <c r="J302" s="1" t="s">
        <v>92</v>
      </c>
      <c r="K302" s="14">
        <v>5</v>
      </c>
      <c r="L302" s="1">
        <v>5650</v>
      </c>
      <c r="M302" s="1">
        <v>10</v>
      </c>
      <c r="N302" s="1">
        <f>Table1[[#This Row],[Discount]]/100</f>
        <v>0.1</v>
      </c>
      <c r="O302" s="1">
        <v>2825</v>
      </c>
      <c r="P302" s="1">
        <v>25425</v>
      </c>
      <c r="Q302" s="1">
        <v>153</v>
      </c>
      <c r="R302" s="1">
        <v>25578</v>
      </c>
      <c r="S302" s="1" t="s">
        <v>28</v>
      </c>
      <c r="T302" s="1" t="s">
        <v>118</v>
      </c>
      <c r="U302" s="1" t="s">
        <v>30</v>
      </c>
      <c r="V302" s="11">
        <v>1</v>
      </c>
      <c r="W302" s="18">
        <v>3.5</v>
      </c>
    </row>
    <row r="303" spans="1:23" x14ac:dyDescent="0.25">
      <c r="A303" s="2" t="s">
        <v>581</v>
      </c>
      <c r="B303" s="1" t="s">
        <v>193</v>
      </c>
      <c r="C303" s="8">
        <v>45771</v>
      </c>
      <c r="D303" s="1" t="s">
        <v>33</v>
      </c>
      <c r="E303" s="1" t="s">
        <v>33</v>
      </c>
      <c r="F303" s="1" t="s">
        <v>34</v>
      </c>
      <c r="G303" s="1">
        <v>22</v>
      </c>
      <c r="H303" s="1" t="s">
        <v>57</v>
      </c>
      <c r="I303" s="1" t="s">
        <v>26</v>
      </c>
      <c r="J303" s="1" t="s">
        <v>27</v>
      </c>
      <c r="K303" s="14">
        <v>5</v>
      </c>
      <c r="L303" s="1">
        <v>51734</v>
      </c>
      <c r="M303" s="1">
        <v>20</v>
      </c>
      <c r="N303" s="1">
        <f>Table1[[#This Row],[Discount]]/100</f>
        <v>0.2</v>
      </c>
      <c r="O303" s="1">
        <v>51734</v>
      </c>
      <c r="P303" s="1">
        <v>206936</v>
      </c>
      <c r="Q303" s="1">
        <v>113</v>
      </c>
      <c r="R303" s="1">
        <v>207049</v>
      </c>
      <c r="S303" s="1" t="s">
        <v>28</v>
      </c>
      <c r="T303" s="1" t="s">
        <v>118</v>
      </c>
      <c r="U303" s="1" t="s">
        <v>30</v>
      </c>
      <c r="V303" s="11">
        <v>5</v>
      </c>
      <c r="W303" s="18">
        <v>3</v>
      </c>
    </row>
    <row r="304" spans="1:23" x14ac:dyDescent="0.25">
      <c r="A304" s="2" t="s">
        <v>582</v>
      </c>
      <c r="B304" s="1" t="s">
        <v>155</v>
      </c>
      <c r="C304" s="8">
        <v>45694</v>
      </c>
      <c r="D304" s="1" t="s">
        <v>140</v>
      </c>
      <c r="E304" s="1" t="s">
        <v>141</v>
      </c>
      <c r="F304" s="1" t="s">
        <v>34</v>
      </c>
      <c r="G304" s="1">
        <v>37</v>
      </c>
      <c r="H304" s="1" t="s">
        <v>25</v>
      </c>
      <c r="I304" s="1" t="s">
        <v>36</v>
      </c>
      <c r="J304" s="1" t="s">
        <v>177</v>
      </c>
      <c r="K304" s="14">
        <v>3</v>
      </c>
      <c r="L304" s="1">
        <v>5453</v>
      </c>
      <c r="M304" s="1">
        <v>10</v>
      </c>
      <c r="N304" s="1">
        <f>Table1[[#This Row],[Discount]]/100</f>
        <v>0.1</v>
      </c>
      <c r="O304" s="1">
        <v>1635.9</v>
      </c>
      <c r="P304" s="1">
        <v>14723.1</v>
      </c>
      <c r="Q304" s="1">
        <v>207</v>
      </c>
      <c r="R304" s="1">
        <v>14930.1</v>
      </c>
      <c r="S304" s="1" t="s">
        <v>28</v>
      </c>
      <c r="T304" s="1" t="s">
        <v>39</v>
      </c>
      <c r="U304" s="1" t="s">
        <v>30</v>
      </c>
      <c r="V304" s="11">
        <v>7</v>
      </c>
      <c r="W304" s="18">
        <v>3</v>
      </c>
    </row>
    <row r="305" spans="1:23" x14ac:dyDescent="0.25">
      <c r="A305" s="2" t="s">
        <v>583</v>
      </c>
      <c r="B305" s="1" t="s">
        <v>134</v>
      </c>
      <c r="C305" s="8">
        <v>45870</v>
      </c>
      <c r="D305" s="1" t="s">
        <v>102</v>
      </c>
      <c r="E305" s="1" t="s">
        <v>103</v>
      </c>
      <c r="F305" s="1" t="s">
        <v>44</v>
      </c>
      <c r="G305" s="1">
        <v>24</v>
      </c>
      <c r="H305" s="1" t="s">
        <v>57</v>
      </c>
      <c r="I305" s="1" t="s">
        <v>74</v>
      </c>
      <c r="J305" s="1" t="s">
        <v>409</v>
      </c>
      <c r="K305" s="14">
        <v>4</v>
      </c>
      <c r="L305" s="1">
        <v>1982</v>
      </c>
      <c r="M305" s="1">
        <v>5</v>
      </c>
      <c r="N305" s="1">
        <f>Table1[[#This Row],[Discount]]/100</f>
        <v>0.05</v>
      </c>
      <c r="O305" s="1">
        <v>396.4</v>
      </c>
      <c r="P305" s="1">
        <v>7531.6</v>
      </c>
      <c r="Q305" s="1">
        <v>162</v>
      </c>
      <c r="R305" s="1">
        <v>7693.6</v>
      </c>
      <c r="S305" s="1" t="s">
        <v>66</v>
      </c>
      <c r="T305" s="1" t="s">
        <v>29</v>
      </c>
      <c r="U305" s="1" t="s">
        <v>30</v>
      </c>
      <c r="V305" s="11">
        <v>6</v>
      </c>
      <c r="W305" s="18">
        <v>5</v>
      </c>
    </row>
    <row r="306" spans="1:23" x14ac:dyDescent="0.25">
      <c r="A306" s="2" t="s">
        <v>584</v>
      </c>
      <c r="B306" s="1" t="s">
        <v>403</v>
      </c>
      <c r="C306" s="8">
        <v>45838</v>
      </c>
      <c r="D306" s="1" t="s">
        <v>96</v>
      </c>
      <c r="E306" s="1" t="s">
        <v>96</v>
      </c>
      <c r="F306" s="1" t="s">
        <v>44</v>
      </c>
      <c r="G306" s="1">
        <v>53</v>
      </c>
      <c r="H306" s="1" t="s">
        <v>57</v>
      </c>
      <c r="I306" s="1" t="s">
        <v>26</v>
      </c>
      <c r="J306" s="1" t="s">
        <v>51</v>
      </c>
      <c r="K306" s="14">
        <v>2</v>
      </c>
      <c r="L306" s="1">
        <v>72885</v>
      </c>
      <c r="M306" s="1">
        <v>20</v>
      </c>
      <c r="N306" s="1">
        <f>Table1[[#This Row],[Discount]]/100</f>
        <v>0.2</v>
      </c>
      <c r="O306" s="1">
        <v>29154</v>
      </c>
      <c r="P306" s="1">
        <v>116616</v>
      </c>
      <c r="Q306" s="1">
        <v>133</v>
      </c>
      <c r="R306" s="1">
        <v>116749</v>
      </c>
      <c r="S306" s="1" t="s">
        <v>66</v>
      </c>
      <c r="T306" s="1" t="s">
        <v>118</v>
      </c>
      <c r="U306" s="1" t="s">
        <v>70</v>
      </c>
      <c r="W306" s="18"/>
    </row>
    <row r="307" spans="1:23" x14ac:dyDescent="0.25">
      <c r="A307" s="2" t="s">
        <v>585</v>
      </c>
      <c r="B307" s="1" t="s">
        <v>374</v>
      </c>
      <c r="C307" s="8">
        <v>45842</v>
      </c>
      <c r="D307" s="1" t="s">
        <v>87</v>
      </c>
      <c r="E307" s="1" t="s">
        <v>87</v>
      </c>
      <c r="F307" s="1" t="s">
        <v>44</v>
      </c>
      <c r="G307" s="1">
        <v>46</v>
      </c>
      <c r="H307" s="1" t="s">
        <v>50</v>
      </c>
      <c r="I307" s="1" t="s">
        <v>36</v>
      </c>
      <c r="J307" s="1" t="s">
        <v>156</v>
      </c>
      <c r="K307" s="14">
        <v>5</v>
      </c>
      <c r="L307" s="1">
        <v>6672</v>
      </c>
      <c r="M307" s="1">
        <v>20</v>
      </c>
      <c r="N307" s="1">
        <f>Table1[[#This Row],[Discount]]/100</f>
        <v>0.2</v>
      </c>
      <c r="O307" s="1">
        <v>6672</v>
      </c>
      <c r="P307" s="1">
        <v>26688</v>
      </c>
      <c r="Q307" s="1">
        <v>85</v>
      </c>
      <c r="R307" s="1">
        <v>26773</v>
      </c>
      <c r="S307" s="1" t="s">
        <v>66</v>
      </c>
      <c r="T307" s="1" t="s">
        <v>39</v>
      </c>
      <c r="U307" s="1" t="s">
        <v>80</v>
      </c>
      <c r="W307" s="18"/>
    </row>
    <row r="308" spans="1:23" x14ac:dyDescent="0.25">
      <c r="A308" s="2" t="s">
        <v>586</v>
      </c>
      <c r="B308" s="1" t="s">
        <v>475</v>
      </c>
      <c r="C308" s="8">
        <v>46011</v>
      </c>
      <c r="D308" s="1" t="s">
        <v>110</v>
      </c>
      <c r="E308" s="1" t="s">
        <v>110</v>
      </c>
      <c r="F308" s="1" t="s">
        <v>24</v>
      </c>
      <c r="G308" s="1">
        <v>35</v>
      </c>
      <c r="H308" s="1" t="s">
        <v>25</v>
      </c>
      <c r="I308" s="1" t="s">
        <v>58</v>
      </c>
      <c r="J308" s="1" t="s">
        <v>104</v>
      </c>
      <c r="K308" s="14">
        <v>5</v>
      </c>
      <c r="L308" s="1">
        <v>1058</v>
      </c>
      <c r="M308" s="1">
        <v>10</v>
      </c>
      <c r="N308" s="1">
        <f>Table1[[#This Row],[Discount]]/100</f>
        <v>0.1</v>
      </c>
      <c r="O308" s="1">
        <v>529</v>
      </c>
      <c r="P308" s="1">
        <v>4761</v>
      </c>
      <c r="Q308" s="1">
        <v>230</v>
      </c>
      <c r="R308" s="1">
        <v>4991</v>
      </c>
      <c r="S308" s="1" t="s">
        <v>52</v>
      </c>
      <c r="T308" s="1" t="s">
        <v>39</v>
      </c>
      <c r="U308" s="1" t="s">
        <v>30</v>
      </c>
      <c r="V308" s="11">
        <v>7</v>
      </c>
      <c r="W308" s="18">
        <v>4.5</v>
      </c>
    </row>
    <row r="309" spans="1:23" x14ac:dyDescent="0.25">
      <c r="A309" s="2" t="s">
        <v>587</v>
      </c>
      <c r="B309" s="1" t="s">
        <v>588</v>
      </c>
      <c r="C309" s="8">
        <v>45811</v>
      </c>
      <c r="D309" s="1" t="s">
        <v>43</v>
      </c>
      <c r="E309" s="1" t="s">
        <v>43</v>
      </c>
      <c r="F309" s="1" t="s">
        <v>34</v>
      </c>
      <c r="G309" s="1">
        <v>54</v>
      </c>
      <c r="H309" s="1" t="s">
        <v>50</v>
      </c>
      <c r="I309" s="1" t="s">
        <v>26</v>
      </c>
      <c r="J309" s="1" t="s">
        <v>283</v>
      </c>
      <c r="K309" s="14">
        <v>3</v>
      </c>
      <c r="L309" s="1">
        <v>21261</v>
      </c>
      <c r="M309" s="1">
        <v>5</v>
      </c>
      <c r="N309" s="1">
        <f>Table1[[#This Row],[Discount]]/100</f>
        <v>0.05</v>
      </c>
      <c r="O309" s="1">
        <v>3189.15</v>
      </c>
      <c r="P309" s="1">
        <v>60593.85</v>
      </c>
      <c r="Q309" s="1">
        <v>227</v>
      </c>
      <c r="R309" s="1">
        <v>60820.85</v>
      </c>
      <c r="S309" s="1" t="s">
        <v>66</v>
      </c>
      <c r="T309" s="1" t="s">
        <v>118</v>
      </c>
      <c r="U309" s="1" t="s">
        <v>30</v>
      </c>
      <c r="V309" s="11">
        <v>1</v>
      </c>
      <c r="W309" s="18">
        <v>4</v>
      </c>
    </row>
    <row r="310" spans="1:23" x14ac:dyDescent="0.25">
      <c r="A310" s="2" t="s">
        <v>589</v>
      </c>
      <c r="B310" s="1" t="s">
        <v>394</v>
      </c>
      <c r="C310" s="8">
        <v>45686</v>
      </c>
      <c r="D310" s="1" t="s">
        <v>140</v>
      </c>
      <c r="E310" s="1" t="s">
        <v>141</v>
      </c>
      <c r="F310" s="1" t="s">
        <v>44</v>
      </c>
      <c r="G310" s="1">
        <v>39</v>
      </c>
      <c r="H310" s="1" t="s">
        <v>57</v>
      </c>
      <c r="I310" s="1" t="s">
        <v>45</v>
      </c>
      <c r="J310" s="1" t="s">
        <v>165</v>
      </c>
      <c r="K310" s="14">
        <v>4</v>
      </c>
      <c r="L310" s="1">
        <v>233</v>
      </c>
      <c r="M310" s="1">
        <v>20</v>
      </c>
      <c r="N310" s="1">
        <f>Table1[[#This Row],[Discount]]/100</f>
        <v>0.2</v>
      </c>
      <c r="O310" s="1">
        <v>186.4</v>
      </c>
      <c r="P310" s="1">
        <v>745.6</v>
      </c>
      <c r="Q310" s="1">
        <v>219</v>
      </c>
      <c r="R310" s="1">
        <v>964.6</v>
      </c>
      <c r="S310" s="1" t="s">
        <v>28</v>
      </c>
      <c r="T310" s="1" t="s">
        <v>39</v>
      </c>
      <c r="U310" s="1" t="s">
        <v>30</v>
      </c>
      <c r="V310" s="11">
        <v>7</v>
      </c>
      <c r="W310" s="18">
        <v>4</v>
      </c>
    </row>
    <row r="311" spans="1:23" x14ac:dyDescent="0.25">
      <c r="A311" s="2" t="s">
        <v>590</v>
      </c>
      <c r="B311" s="1" t="s">
        <v>553</v>
      </c>
      <c r="C311" s="8">
        <v>45915</v>
      </c>
      <c r="D311" s="1" t="s">
        <v>102</v>
      </c>
      <c r="E311" s="1" t="s">
        <v>103</v>
      </c>
      <c r="F311" s="1" t="s">
        <v>24</v>
      </c>
      <c r="G311" s="1">
        <v>32</v>
      </c>
      <c r="H311" s="1" t="s">
        <v>57</v>
      </c>
      <c r="I311" s="1" t="s">
        <v>36</v>
      </c>
      <c r="J311" s="1" t="s">
        <v>37</v>
      </c>
      <c r="K311" s="14">
        <v>1</v>
      </c>
      <c r="L311" s="1">
        <v>3015</v>
      </c>
      <c r="M311" s="1">
        <v>20</v>
      </c>
      <c r="N311" s="1">
        <f>Table1[[#This Row],[Discount]]/100</f>
        <v>0.2</v>
      </c>
      <c r="O311" s="1">
        <v>603</v>
      </c>
      <c r="P311" s="1">
        <v>2412</v>
      </c>
      <c r="Q311" s="1">
        <v>103</v>
      </c>
      <c r="R311" s="1">
        <v>2515</v>
      </c>
      <c r="S311" s="1" t="s">
        <v>93</v>
      </c>
      <c r="T311" s="1" t="s">
        <v>29</v>
      </c>
      <c r="U311" s="1" t="s">
        <v>30</v>
      </c>
      <c r="V311" s="11">
        <v>6</v>
      </c>
      <c r="W311" s="18">
        <v>3.5</v>
      </c>
    </row>
    <row r="312" spans="1:23" x14ac:dyDescent="0.25">
      <c r="A312" s="2" t="s">
        <v>591</v>
      </c>
      <c r="B312" s="1" t="s">
        <v>240</v>
      </c>
      <c r="C312" s="8">
        <v>45683</v>
      </c>
      <c r="D312" s="1" t="s">
        <v>73</v>
      </c>
      <c r="E312" s="1" t="s">
        <v>73</v>
      </c>
      <c r="F312" s="1" t="s">
        <v>44</v>
      </c>
      <c r="G312" s="1">
        <v>43</v>
      </c>
      <c r="H312" s="1" t="s">
        <v>25</v>
      </c>
      <c r="I312" s="1" t="s">
        <v>58</v>
      </c>
      <c r="J312" s="1" t="s">
        <v>104</v>
      </c>
      <c r="K312" s="14">
        <v>2</v>
      </c>
      <c r="L312" s="1">
        <v>691</v>
      </c>
      <c r="M312" s="1">
        <v>0</v>
      </c>
      <c r="N312" s="1">
        <f>Table1[[#This Row],[Discount]]/100</f>
        <v>0</v>
      </c>
      <c r="O312" s="1">
        <v>0</v>
      </c>
      <c r="P312" s="1">
        <v>1382</v>
      </c>
      <c r="Q312" s="1">
        <v>210</v>
      </c>
      <c r="R312" s="1">
        <v>1592</v>
      </c>
      <c r="S312" s="1" t="s">
        <v>93</v>
      </c>
      <c r="T312" s="1" t="s">
        <v>29</v>
      </c>
      <c r="U312" s="1" t="s">
        <v>30</v>
      </c>
      <c r="V312" s="11">
        <v>5</v>
      </c>
      <c r="W312" s="18">
        <v>4</v>
      </c>
    </row>
    <row r="313" spans="1:23" x14ac:dyDescent="0.25">
      <c r="A313" s="2" t="s">
        <v>592</v>
      </c>
      <c r="B313" s="1" t="s">
        <v>161</v>
      </c>
      <c r="C313" s="8">
        <v>45784</v>
      </c>
      <c r="D313" s="1" t="s">
        <v>56</v>
      </c>
      <c r="E313" s="1" t="s">
        <v>56</v>
      </c>
      <c r="F313" s="1" t="s">
        <v>44</v>
      </c>
      <c r="G313" s="1">
        <v>22</v>
      </c>
      <c r="H313" s="1" t="s">
        <v>69</v>
      </c>
      <c r="I313" s="1" t="s">
        <v>74</v>
      </c>
      <c r="J313" s="1" t="s">
        <v>172</v>
      </c>
      <c r="K313" s="14">
        <v>5</v>
      </c>
      <c r="L313" s="1">
        <v>4396</v>
      </c>
      <c r="M313" s="1">
        <v>20</v>
      </c>
      <c r="N313" s="1">
        <f>Table1[[#This Row],[Discount]]/100</f>
        <v>0.2</v>
      </c>
      <c r="O313" s="1">
        <v>4396</v>
      </c>
      <c r="P313" s="1">
        <v>17584</v>
      </c>
      <c r="Q313" s="1">
        <v>154</v>
      </c>
      <c r="R313" s="1">
        <v>17738</v>
      </c>
      <c r="S313" s="1" t="s">
        <v>66</v>
      </c>
      <c r="T313" s="1" t="s">
        <v>29</v>
      </c>
      <c r="U313" s="1" t="s">
        <v>70</v>
      </c>
      <c r="W313" s="18"/>
    </row>
    <row r="314" spans="1:23" x14ac:dyDescent="0.25">
      <c r="A314" s="2" t="s">
        <v>593</v>
      </c>
      <c r="B314" s="1" t="s">
        <v>594</v>
      </c>
      <c r="C314" s="8">
        <v>45744</v>
      </c>
      <c r="D314" s="1" t="s">
        <v>43</v>
      </c>
      <c r="E314" s="1" t="s">
        <v>43</v>
      </c>
      <c r="F314" s="1" t="s">
        <v>34</v>
      </c>
      <c r="G314" s="1">
        <v>57</v>
      </c>
      <c r="H314" s="1" t="s">
        <v>57</v>
      </c>
      <c r="I314" s="1" t="s">
        <v>26</v>
      </c>
      <c r="J314" s="1" t="s">
        <v>283</v>
      </c>
      <c r="K314" s="14">
        <v>4</v>
      </c>
      <c r="L314" s="1">
        <v>48676</v>
      </c>
      <c r="M314" s="1">
        <v>25</v>
      </c>
      <c r="N314" s="1">
        <f>Table1[[#This Row],[Discount]]/100</f>
        <v>0.25</v>
      </c>
      <c r="O314" s="1">
        <v>48676</v>
      </c>
      <c r="P314" s="1">
        <v>146028</v>
      </c>
      <c r="Q314" s="1">
        <v>98</v>
      </c>
      <c r="R314" s="1">
        <v>146126</v>
      </c>
      <c r="S314" s="1" t="s">
        <v>28</v>
      </c>
      <c r="T314" s="1" t="s">
        <v>39</v>
      </c>
      <c r="U314" s="1" t="s">
        <v>30</v>
      </c>
      <c r="V314" s="11">
        <v>3</v>
      </c>
      <c r="W314" s="18">
        <v>4</v>
      </c>
    </row>
    <row r="315" spans="1:23" x14ac:dyDescent="0.25">
      <c r="A315" s="2" t="s">
        <v>595</v>
      </c>
      <c r="B315" s="1" t="s">
        <v>167</v>
      </c>
      <c r="C315" s="8">
        <v>45805</v>
      </c>
      <c r="D315" s="1" t="s">
        <v>33</v>
      </c>
      <c r="E315" s="1" t="s">
        <v>33</v>
      </c>
      <c r="F315" s="1" t="s">
        <v>34</v>
      </c>
      <c r="G315" s="1">
        <v>39</v>
      </c>
      <c r="H315" s="1" t="s">
        <v>69</v>
      </c>
      <c r="I315" s="1" t="s">
        <v>36</v>
      </c>
      <c r="J315" s="1" t="s">
        <v>156</v>
      </c>
      <c r="K315" s="14">
        <v>2</v>
      </c>
      <c r="L315" s="1">
        <v>7991</v>
      </c>
      <c r="M315" s="1">
        <v>5</v>
      </c>
      <c r="N315" s="1">
        <f>Table1[[#This Row],[Discount]]/100</f>
        <v>0.05</v>
      </c>
      <c r="O315" s="1">
        <v>799.1</v>
      </c>
      <c r="P315" s="1">
        <v>15182.9</v>
      </c>
      <c r="Q315" s="1">
        <v>229</v>
      </c>
      <c r="R315" s="1">
        <v>15411.9</v>
      </c>
      <c r="S315" s="1" t="s">
        <v>93</v>
      </c>
      <c r="T315" s="1" t="s">
        <v>118</v>
      </c>
      <c r="U315" s="1" t="s">
        <v>80</v>
      </c>
      <c r="W315" s="18"/>
    </row>
    <row r="316" spans="1:23" x14ac:dyDescent="0.25">
      <c r="A316" s="2" t="s">
        <v>596</v>
      </c>
      <c r="B316" s="1" t="s">
        <v>597</v>
      </c>
      <c r="C316" s="8">
        <v>45730</v>
      </c>
      <c r="D316" s="1" t="s">
        <v>153</v>
      </c>
      <c r="E316" s="1" t="s">
        <v>153</v>
      </c>
      <c r="F316" s="1" t="s">
        <v>24</v>
      </c>
      <c r="G316" s="1">
        <v>60</v>
      </c>
      <c r="H316" s="1" t="s">
        <v>25</v>
      </c>
      <c r="I316" s="1" t="s">
        <v>88</v>
      </c>
      <c r="J316" s="1" t="s">
        <v>213</v>
      </c>
      <c r="K316" s="14">
        <v>5</v>
      </c>
      <c r="L316" s="1">
        <v>9252</v>
      </c>
      <c r="M316" s="1">
        <v>20</v>
      </c>
      <c r="N316" s="1">
        <f>Table1[[#This Row],[Discount]]/100</f>
        <v>0.2</v>
      </c>
      <c r="O316" s="1">
        <v>9252</v>
      </c>
      <c r="P316" s="1">
        <v>37008</v>
      </c>
      <c r="Q316" s="1">
        <v>206</v>
      </c>
      <c r="R316" s="1">
        <v>37214</v>
      </c>
      <c r="S316" s="1" t="s">
        <v>28</v>
      </c>
      <c r="T316" s="1" t="s">
        <v>118</v>
      </c>
      <c r="U316" s="1" t="s">
        <v>30</v>
      </c>
      <c r="V316" s="11">
        <v>6</v>
      </c>
      <c r="W316" s="18">
        <v>3</v>
      </c>
    </row>
    <row r="317" spans="1:23" x14ac:dyDescent="0.25">
      <c r="A317" s="2" t="s">
        <v>598</v>
      </c>
      <c r="B317" s="1" t="s">
        <v>273</v>
      </c>
      <c r="C317" s="8">
        <v>45995</v>
      </c>
      <c r="D317" s="1" t="s">
        <v>56</v>
      </c>
      <c r="E317" s="1" t="s">
        <v>56</v>
      </c>
      <c r="F317" s="1" t="s">
        <v>24</v>
      </c>
      <c r="G317" s="1">
        <v>24</v>
      </c>
      <c r="H317" s="1" t="s">
        <v>57</v>
      </c>
      <c r="I317" s="1" t="s">
        <v>26</v>
      </c>
      <c r="J317" s="1" t="s">
        <v>198</v>
      </c>
      <c r="K317" s="14">
        <v>2</v>
      </c>
      <c r="L317" s="1">
        <v>36357</v>
      </c>
      <c r="M317" s="1">
        <v>25</v>
      </c>
      <c r="N317" s="1">
        <f>Table1[[#This Row],[Discount]]/100</f>
        <v>0.25</v>
      </c>
      <c r="O317" s="1">
        <v>18178.5</v>
      </c>
      <c r="P317" s="1">
        <v>54535.5</v>
      </c>
      <c r="Q317" s="1">
        <v>238</v>
      </c>
      <c r="R317" s="1">
        <v>54773.5</v>
      </c>
      <c r="S317" s="1" t="s">
        <v>47</v>
      </c>
      <c r="T317" s="1" t="s">
        <v>118</v>
      </c>
      <c r="U317" s="1" t="s">
        <v>30</v>
      </c>
      <c r="V317" s="11">
        <v>3</v>
      </c>
      <c r="W317" s="18">
        <v>3</v>
      </c>
    </row>
    <row r="318" spans="1:23" x14ac:dyDescent="0.25">
      <c r="A318" s="2" t="s">
        <v>599</v>
      </c>
      <c r="B318" s="1" t="s">
        <v>421</v>
      </c>
      <c r="C318" s="8">
        <v>46022</v>
      </c>
      <c r="D318" s="1" t="s">
        <v>120</v>
      </c>
      <c r="E318" s="1" t="s">
        <v>120</v>
      </c>
      <c r="F318" s="1" t="s">
        <v>24</v>
      </c>
      <c r="G318" s="1">
        <v>20</v>
      </c>
      <c r="H318" s="1" t="s">
        <v>69</v>
      </c>
      <c r="I318" s="1" t="s">
        <v>36</v>
      </c>
      <c r="J318" s="1" t="s">
        <v>177</v>
      </c>
      <c r="K318" s="14">
        <v>3</v>
      </c>
      <c r="L318" s="1">
        <v>2029</v>
      </c>
      <c r="M318" s="1">
        <v>20</v>
      </c>
      <c r="N318" s="1">
        <f>Table1[[#This Row],[Discount]]/100</f>
        <v>0.2</v>
      </c>
      <c r="O318" s="1">
        <v>1217.4000000000001</v>
      </c>
      <c r="P318" s="1">
        <v>4869.6000000000004</v>
      </c>
      <c r="Q318" s="1">
        <v>163</v>
      </c>
      <c r="R318" s="1">
        <v>5032.6000000000004</v>
      </c>
      <c r="S318" s="1" t="s">
        <v>38</v>
      </c>
      <c r="T318" s="1" t="s">
        <v>118</v>
      </c>
      <c r="U318" s="1" t="s">
        <v>70</v>
      </c>
      <c r="W318" s="18"/>
    </row>
    <row r="319" spans="1:23" x14ac:dyDescent="0.25">
      <c r="A319" s="2" t="s">
        <v>600</v>
      </c>
      <c r="B319" s="1" t="s">
        <v>155</v>
      </c>
      <c r="C319" s="8">
        <v>45789</v>
      </c>
      <c r="D319" s="1" t="s">
        <v>96</v>
      </c>
      <c r="E319" s="1" t="s">
        <v>96</v>
      </c>
      <c r="F319" s="1" t="s">
        <v>24</v>
      </c>
      <c r="G319" s="1">
        <v>19</v>
      </c>
      <c r="H319" s="1" t="s">
        <v>69</v>
      </c>
      <c r="I319" s="1" t="s">
        <v>36</v>
      </c>
      <c r="J319" s="1" t="s">
        <v>159</v>
      </c>
      <c r="K319" s="14">
        <v>1</v>
      </c>
      <c r="L319" s="1">
        <v>4506</v>
      </c>
      <c r="M319" s="1">
        <v>10</v>
      </c>
      <c r="N319" s="1">
        <f>Table1[[#This Row],[Discount]]/100</f>
        <v>0.1</v>
      </c>
      <c r="O319" s="1">
        <v>450.6</v>
      </c>
      <c r="P319" s="1">
        <v>4055.4</v>
      </c>
      <c r="Q319" s="1">
        <v>180</v>
      </c>
      <c r="R319" s="1">
        <v>4235.3999999999996</v>
      </c>
      <c r="S319" s="1" t="s">
        <v>47</v>
      </c>
      <c r="T319" s="1" t="s">
        <v>39</v>
      </c>
      <c r="U319" s="1" t="s">
        <v>53</v>
      </c>
      <c r="W319" s="18"/>
    </row>
    <row r="320" spans="1:23" x14ac:dyDescent="0.25">
      <c r="A320" s="2" t="s">
        <v>601</v>
      </c>
      <c r="B320" s="1" t="s">
        <v>226</v>
      </c>
      <c r="C320" s="8">
        <v>45967</v>
      </c>
      <c r="D320" s="1" t="s">
        <v>83</v>
      </c>
      <c r="E320" s="1" t="s">
        <v>83</v>
      </c>
      <c r="F320" s="1" t="s">
        <v>34</v>
      </c>
      <c r="G320" s="1">
        <v>46</v>
      </c>
      <c r="H320" s="1" t="s">
        <v>35</v>
      </c>
      <c r="I320" s="1" t="s">
        <v>45</v>
      </c>
      <c r="J320" s="1" t="s">
        <v>165</v>
      </c>
      <c r="K320" s="14">
        <v>1</v>
      </c>
      <c r="L320" s="1">
        <v>1789</v>
      </c>
      <c r="M320" s="1">
        <v>5</v>
      </c>
      <c r="N320" s="1">
        <f>Table1[[#This Row],[Discount]]/100</f>
        <v>0.05</v>
      </c>
      <c r="O320" s="1">
        <v>89.45</v>
      </c>
      <c r="P320" s="1">
        <v>1699.55</v>
      </c>
      <c r="Q320" s="1">
        <v>99</v>
      </c>
      <c r="R320" s="1">
        <v>1798.55</v>
      </c>
      <c r="S320" s="1" t="s">
        <v>52</v>
      </c>
      <c r="T320" s="1" t="s">
        <v>29</v>
      </c>
      <c r="U320" s="1" t="s">
        <v>30</v>
      </c>
      <c r="V320" s="11">
        <v>3</v>
      </c>
      <c r="W320" s="18">
        <v>4.5</v>
      </c>
    </row>
    <row r="321" spans="1:23" x14ac:dyDescent="0.25">
      <c r="A321" s="2" t="s">
        <v>602</v>
      </c>
      <c r="B321" s="1" t="s">
        <v>270</v>
      </c>
      <c r="C321" s="8">
        <v>45930</v>
      </c>
      <c r="D321" s="1" t="s">
        <v>23</v>
      </c>
      <c r="E321" s="1" t="s">
        <v>23</v>
      </c>
      <c r="F321" s="1" t="s">
        <v>34</v>
      </c>
      <c r="G321" s="1">
        <v>25</v>
      </c>
      <c r="H321" s="1" t="s">
        <v>50</v>
      </c>
      <c r="I321" s="1" t="s">
        <v>74</v>
      </c>
      <c r="J321" s="1" t="s">
        <v>75</v>
      </c>
      <c r="K321" s="14">
        <v>3</v>
      </c>
      <c r="L321" s="1">
        <v>1507</v>
      </c>
      <c r="M321" s="1">
        <v>5</v>
      </c>
      <c r="N321" s="1">
        <f>Table1[[#This Row],[Discount]]/100</f>
        <v>0.05</v>
      </c>
      <c r="O321" s="1">
        <v>226.05</v>
      </c>
      <c r="P321" s="1">
        <v>4294.95</v>
      </c>
      <c r="Q321" s="1">
        <v>162</v>
      </c>
      <c r="R321" s="1">
        <v>4456.95</v>
      </c>
      <c r="S321" s="1" t="s">
        <v>38</v>
      </c>
      <c r="T321" s="1" t="s">
        <v>118</v>
      </c>
      <c r="U321" s="1" t="s">
        <v>30</v>
      </c>
      <c r="V321" s="11">
        <v>6</v>
      </c>
      <c r="W321" s="18">
        <v>3.5</v>
      </c>
    </row>
    <row r="322" spans="1:23" x14ac:dyDescent="0.25">
      <c r="A322" s="2" t="s">
        <v>603</v>
      </c>
      <c r="B322" s="1" t="s">
        <v>22</v>
      </c>
      <c r="C322" s="8">
        <v>45948</v>
      </c>
      <c r="D322" s="1" t="s">
        <v>96</v>
      </c>
      <c r="E322" s="1" t="s">
        <v>96</v>
      </c>
      <c r="F322" s="1" t="s">
        <v>34</v>
      </c>
      <c r="G322" s="1">
        <v>32</v>
      </c>
      <c r="H322" s="1" t="s">
        <v>50</v>
      </c>
      <c r="I322" s="1" t="s">
        <v>88</v>
      </c>
      <c r="J322" s="1" t="s">
        <v>162</v>
      </c>
      <c r="K322" s="14">
        <v>3</v>
      </c>
      <c r="L322" s="1">
        <v>2049</v>
      </c>
      <c r="M322" s="1">
        <v>20</v>
      </c>
      <c r="N322" s="1">
        <f>Table1[[#This Row],[Discount]]/100</f>
        <v>0.2</v>
      </c>
      <c r="O322" s="1">
        <v>1229.4000000000001</v>
      </c>
      <c r="P322" s="1">
        <v>4917.6000000000004</v>
      </c>
      <c r="Q322" s="1">
        <v>175</v>
      </c>
      <c r="R322" s="1">
        <v>5092.6000000000004</v>
      </c>
      <c r="S322" s="1" t="s">
        <v>38</v>
      </c>
      <c r="T322" s="1" t="s">
        <v>39</v>
      </c>
      <c r="U322" s="1" t="s">
        <v>30</v>
      </c>
      <c r="V322" s="11">
        <v>5</v>
      </c>
      <c r="W322" s="18">
        <v>4.5</v>
      </c>
    </row>
    <row r="323" spans="1:23" x14ac:dyDescent="0.25">
      <c r="A323" s="2" t="s">
        <v>604</v>
      </c>
      <c r="B323" s="1" t="s">
        <v>268</v>
      </c>
      <c r="C323" s="8">
        <v>45756</v>
      </c>
      <c r="D323" s="1" t="s">
        <v>102</v>
      </c>
      <c r="E323" s="1" t="s">
        <v>103</v>
      </c>
      <c r="F323" s="1" t="s">
        <v>34</v>
      </c>
      <c r="G323" s="1">
        <v>20</v>
      </c>
      <c r="H323" s="1" t="s">
        <v>69</v>
      </c>
      <c r="I323" s="1" t="s">
        <v>45</v>
      </c>
      <c r="J323" s="1" t="s">
        <v>165</v>
      </c>
      <c r="K323" s="14">
        <v>5</v>
      </c>
      <c r="L323" s="1">
        <v>833</v>
      </c>
      <c r="M323" s="1">
        <v>15</v>
      </c>
      <c r="N323" s="1">
        <f>Table1[[#This Row],[Discount]]/100</f>
        <v>0.15</v>
      </c>
      <c r="O323" s="1">
        <v>624.75</v>
      </c>
      <c r="P323" s="1">
        <v>3540.25</v>
      </c>
      <c r="Q323" s="1">
        <v>61</v>
      </c>
      <c r="R323" s="1">
        <v>3601.25</v>
      </c>
      <c r="S323" s="1" t="s">
        <v>93</v>
      </c>
      <c r="T323" s="1" t="s">
        <v>39</v>
      </c>
      <c r="U323" s="1" t="s">
        <v>30</v>
      </c>
      <c r="V323" s="11">
        <v>2</v>
      </c>
      <c r="W323" s="18">
        <v>4</v>
      </c>
    </row>
    <row r="324" spans="1:23" x14ac:dyDescent="0.25">
      <c r="A324" s="2" t="s">
        <v>605</v>
      </c>
      <c r="B324" s="1" t="s">
        <v>126</v>
      </c>
      <c r="C324" s="8">
        <v>45865</v>
      </c>
      <c r="D324" s="1" t="s">
        <v>102</v>
      </c>
      <c r="E324" s="1" t="s">
        <v>103</v>
      </c>
      <c r="F324" s="1" t="s">
        <v>24</v>
      </c>
      <c r="G324" s="1">
        <v>20</v>
      </c>
      <c r="H324" s="1" t="s">
        <v>57</v>
      </c>
      <c r="I324" s="1" t="s">
        <v>36</v>
      </c>
      <c r="J324" s="1" t="s">
        <v>159</v>
      </c>
      <c r="K324" s="14">
        <v>2</v>
      </c>
      <c r="L324" s="1">
        <v>3061</v>
      </c>
      <c r="M324" s="1">
        <v>15</v>
      </c>
      <c r="N324" s="1">
        <f>Table1[[#This Row],[Discount]]/100</f>
        <v>0.15</v>
      </c>
      <c r="O324" s="1">
        <v>918.3</v>
      </c>
      <c r="P324" s="1">
        <v>5203.7</v>
      </c>
      <c r="Q324" s="1">
        <v>129</v>
      </c>
      <c r="R324" s="1">
        <v>5332.7</v>
      </c>
      <c r="S324" s="1" t="s">
        <v>66</v>
      </c>
      <c r="T324" s="1" t="s">
        <v>118</v>
      </c>
      <c r="U324" s="1" t="s">
        <v>80</v>
      </c>
      <c r="W324" s="18"/>
    </row>
    <row r="325" spans="1:23" x14ac:dyDescent="0.25">
      <c r="A325" s="2" t="s">
        <v>606</v>
      </c>
      <c r="B325" s="1" t="s">
        <v>558</v>
      </c>
      <c r="C325" s="8">
        <v>45783</v>
      </c>
      <c r="D325" s="1" t="s">
        <v>96</v>
      </c>
      <c r="E325" s="1" t="s">
        <v>96</v>
      </c>
      <c r="F325" s="1" t="s">
        <v>24</v>
      </c>
      <c r="G325" s="1">
        <v>52</v>
      </c>
      <c r="H325" s="1" t="s">
        <v>50</v>
      </c>
      <c r="I325" s="1" t="s">
        <v>58</v>
      </c>
      <c r="J325" s="1" t="s">
        <v>114</v>
      </c>
      <c r="K325" s="14">
        <v>5</v>
      </c>
      <c r="L325" s="1">
        <v>597</v>
      </c>
      <c r="M325" s="1">
        <v>15</v>
      </c>
      <c r="N325" s="1">
        <f>Table1[[#This Row],[Discount]]/100</f>
        <v>0.15</v>
      </c>
      <c r="O325" s="1">
        <v>447.75</v>
      </c>
      <c r="P325" s="1">
        <v>2537.25</v>
      </c>
      <c r="Q325" s="1">
        <v>30</v>
      </c>
      <c r="R325" s="1">
        <v>2567.25</v>
      </c>
      <c r="S325" s="1" t="s">
        <v>52</v>
      </c>
      <c r="T325" s="1" t="s">
        <v>118</v>
      </c>
      <c r="U325" s="1" t="s">
        <v>53</v>
      </c>
      <c r="W325" s="18"/>
    </row>
    <row r="326" spans="1:23" x14ac:dyDescent="0.25">
      <c r="A326" s="2" t="s">
        <v>607</v>
      </c>
      <c r="B326" s="1" t="s">
        <v>520</v>
      </c>
      <c r="C326" s="8">
        <v>45808</v>
      </c>
      <c r="D326" s="1" t="s">
        <v>120</v>
      </c>
      <c r="E326" s="1" t="s">
        <v>120</v>
      </c>
      <c r="F326" s="1" t="s">
        <v>34</v>
      </c>
      <c r="G326" s="1">
        <v>21</v>
      </c>
      <c r="H326" s="1" t="s">
        <v>57</v>
      </c>
      <c r="I326" s="1" t="s">
        <v>36</v>
      </c>
      <c r="J326" s="1" t="s">
        <v>177</v>
      </c>
      <c r="K326" s="14">
        <v>2</v>
      </c>
      <c r="L326" s="1">
        <v>7179</v>
      </c>
      <c r="M326" s="1">
        <v>10</v>
      </c>
      <c r="N326" s="1">
        <f>Table1[[#This Row],[Discount]]/100</f>
        <v>0.1</v>
      </c>
      <c r="O326" s="1">
        <v>1435.8</v>
      </c>
      <c r="P326" s="1">
        <v>12922.2</v>
      </c>
      <c r="Q326" s="1">
        <v>128</v>
      </c>
      <c r="R326" s="1">
        <v>13050.2</v>
      </c>
      <c r="S326" s="1" t="s">
        <v>66</v>
      </c>
      <c r="T326" s="1" t="s">
        <v>118</v>
      </c>
      <c r="U326" s="1" t="s">
        <v>30</v>
      </c>
      <c r="V326" s="11">
        <v>5</v>
      </c>
      <c r="W326" s="18">
        <v>5</v>
      </c>
    </row>
    <row r="327" spans="1:23" x14ac:dyDescent="0.25">
      <c r="A327" s="2" t="s">
        <v>608</v>
      </c>
      <c r="B327" s="1" t="s">
        <v>260</v>
      </c>
      <c r="C327" s="8">
        <v>45890</v>
      </c>
      <c r="D327" s="1" t="s">
        <v>43</v>
      </c>
      <c r="E327" s="1" t="s">
        <v>43</v>
      </c>
      <c r="F327" s="1" t="s">
        <v>44</v>
      </c>
      <c r="G327" s="1">
        <v>30</v>
      </c>
      <c r="H327" s="1" t="s">
        <v>69</v>
      </c>
      <c r="I327" s="1" t="s">
        <v>36</v>
      </c>
      <c r="J327" s="1" t="s">
        <v>37</v>
      </c>
      <c r="K327" s="14">
        <v>1</v>
      </c>
      <c r="L327" s="1">
        <v>3787</v>
      </c>
      <c r="M327" s="1">
        <v>10</v>
      </c>
      <c r="N327" s="1">
        <f>Table1[[#This Row],[Discount]]/100</f>
        <v>0.1</v>
      </c>
      <c r="O327" s="1">
        <v>378.7</v>
      </c>
      <c r="P327" s="1">
        <v>3408.3</v>
      </c>
      <c r="Q327" s="1">
        <v>65</v>
      </c>
      <c r="R327" s="1">
        <v>3473.3</v>
      </c>
      <c r="S327" s="1" t="s">
        <v>66</v>
      </c>
      <c r="T327" s="1" t="s">
        <v>29</v>
      </c>
      <c r="U327" s="1" t="s">
        <v>30</v>
      </c>
      <c r="V327" s="11">
        <v>5</v>
      </c>
      <c r="W327" s="18">
        <v>4</v>
      </c>
    </row>
    <row r="328" spans="1:23" x14ac:dyDescent="0.25">
      <c r="A328" s="2" t="s">
        <v>609</v>
      </c>
      <c r="B328" s="1" t="s">
        <v>610</v>
      </c>
      <c r="C328" s="8">
        <v>45919</v>
      </c>
      <c r="D328" s="1" t="s">
        <v>107</v>
      </c>
      <c r="E328" s="1" t="s">
        <v>107</v>
      </c>
      <c r="F328" s="1" t="s">
        <v>44</v>
      </c>
      <c r="G328" s="1">
        <v>28</v>
      </c>
      <c r="H328" s="1" t="s">
        <v>50</v>
      </c>
      <c r="I328" s="1" t="s">
        <v>36</v>
      </c>
      <c r="J328" s="1" t="s">
        <v>159</v>
      </c>
      <c r="K328" s="14">
        <v>1</v>
      </c>
      <c r="L328" s="1">
        <v>4691</v>
      </c>
      <c r="M328" s="1">
        <v>25</v>
      </c>
      <c r="N328" s="1">
        <f>Table1[[#This Row],[Discount]]/100</f>
        <v>0.25</v>
      </c>
      <c r="O328" s="1">
        <v>1172.75</v>
      </c>
      <c r="P328" s="1">
        <v>3518.25</v>
      </c>
      <c r="Q328" s="1">
        <v>222</v>
      </c>
      <c r="R328" s="1">
        <v>3740.25</v>
      </c>
      <c r="S328" s="1" t="s">
        <v>47</v>
      </c>
      <c r="T328" s="1" t="s">
        <v>118</v>
      </c>
      <c r="U328" s="1" t="s">
        <v>30</v>
      </c>
      <c r="V328" s="11">
        <v>5</v>
      </c>
      <c r="W328" s="18">
        <v>4</v>
      </c>
    </row>
    <row r="329" spans="1:23" x14ac:dyDescent="0.25">
      <c r="A329" s="2" t="s">
        <v>611</v>
      </c>
      <c r="B329" s="1" t="s">
        <v>169</v>
      </c>
      <c r="C329" s="8">
        <v>45805</v>
      </c>
      <c r="D329" s="1" t="s">
        <v>73</v>
      </c>
      <c r="E329" s="1" t="s">
        <v>73</v>
      </c>
      <c r="F329" s="1" t="s">
        <v>34</v>
      </c>
      <c r="G329" s="1">
        <v>29</v>
      </c>
      <c r="H329" s="1" t="s">
        <v>35</v>
      </c>
      <c r="I329" s="1" t="s">
        <v>36</v>
      </c>
      <c r="J329" s="1" t="s">
        <v>159</v>
      </c>
      <c r="K329" s="14">
        <v>2</v>
      </c>
      <c r="L329" s="1">
        <v>2935</v>
      </c>
      <c r="M329" s="1">
        <v>25</v>
      </c>
      <c r="N329" s="1">
        <f>Table1[[#This Row],[Discount]]/100</f>
        <v>0.25</v>
      </c>
      <c r="O329" s="1">
        <v>1467.5</v>
      </c>
      <c r="P329" s="1">
        <v>4402.5</v>
      </c>
      <c r="Q329" s="1">
        <v>134</v>
      </c>
      <c r="R329" s="1">
        <v>4536.5</v>
      </c>
      <c r="S329" s="1" t="s">
        <v>28</v>
      </c>
      <c r="T329" s="1" t="s">
        <v>29</v>
      </c>
      <c r="U329" s="1" t="s">
        <v>53</v>
      </c>
      <c r="W329" s="18"/>
    </row>
    <row r="330" spans="1:23" x14ac:dyDescent="0.25">
      <c r="A330" s="2" t="s">
        <v>612</v>
      </c>
      <c r="B330" s="1" t="s">
        <v>396</v>
      </c>
      <c r="C330" s="8">
        <v>45995</v>
      </c>
      <c r="D330" s="1" t="s">
        <v>140</v>
      </c>
      <c r="E330" s="1" t="s">
        <v>141</v>
      </c>
      <c r="F330" s="1" t="s">
        <v>34</v>
      </c>
      <c r="G330" s="1">
        <v>47</v>
      </c>
      <c r="H330" s="1" t="s">
        <v>25</v>
      </c>
      <c r="I330" s="1" t="s">
        <v>88</v>
      </c>
      <c r="J330" s="1" t="s">
        <v>89</v>
      </c>
      <c r="K330" s="14">
        <v>4</v>
      </c>
      <c r="L330" s="1">
        <v>9204</v>
      </c>
      <c r="M330" s="1">
        <v>15</v>
      </c>
      <c r="N330" s="1">
        <f>Table1[[#This Row],[Discount]]/100</f>
        <v>0.15</v>
      </c>
      <c r="O330" s="1">
        <v>5522.4</v>
      </c>
      <c r="P330" s="1">
        <v>31293.599999999999</v>
      </c>
      <c r="Q330" s="1">
        <v>170</v>
      </c>
      <c r="R330" s="1">
        <v>31463.599999999999</v>
      </c>
      <c r="S330" s="1" t="s">
        <v>52</v>
      </c>
      <c r="T330" s="1" t="s">
        <v>39</v>
      </c>
      <c r="U330" s="1" t="s">
        <v>30</v>
      </c>
      <c r="V330" s="11">
        <v>4</v>
      </c>
      <c r="W330" s="18">
        <v>4</v>
      </c>
    </row>
    <row r="331" spans="1:23" x14ac:dyDescent="0.25">
      <c r="A331" s="2" t="s">
        <v>613</v>
      </c>
      <c r="B331" s="1" t="s">
        <v>335</v>
      </c>
      <c r="C331" s="8">
        <v>45674</v>
      </c>
      <c r="D331" s="1" t="s">
        <v>33</v>
      </c>
      <c r="E331" s="1" t="s">
        <v>33</v>
      </c>
      <c r="F331" s="1" t="s">
        <v>44</v>
      </c>
      <c r="G331" s="1">
        <v>54</v>
      </c>
      <c r="H331" s="1" t="s">
        <v>50</v>
      </c>
      <c r="I331" s="1" t="s">
        <v>58</v>
      </c>
      <c r="J331" s="1" t="s">
        <v>62</v>
      </c>
      <c r="K331" s="14">
        <v>5</v>
      </c>
      <c r="L331" s="1">
        <v>757</v>
      </c>
      <c r="M331" s="1">
        <v>25</v>
      </c>
      <c r="N331" s="1">
        <f>Table1[[#This Row],[Discount]]/100</f>
        <v>0.25</v>
      </c>
      <c r="O331" s="1">
        <v>946.25</v>
      </c>
      <c r="P331" s="1">
        <v>2838.75</v>
      </c>
      <c r="Q331" s="1">
        <v>57</v>
      </c>
      <c r="R331" s="1">
        <v>2895.75</v>
      </c>
      <c r="S331" s="1" t="s">
        <v>28</v>
      </c>
      <c r="T331" s="1" t="s">
        <v>39</v>
      </c>
      <c r="U331" s="1" t="s">
        <v>30</v>
      </c>
      <c r="V331" s="11">
        <v>6</v>
      </c>
      <c r="W331" s="18">
        <v>4.5</v>
      </c>
    </row>
    <row r="332" spans="1:23" x14ac:dyDescent="0.25">
      <c r="A332" s="2" t="s">
        <v>614</v>
      </c>
      <c r="B332" s="1" t="s">
        <v>299</v>
      </c>
      <c r="C332" s="8">
        <v>45846</v>
      </c>
      <c r="D332" s="1" t="s">
        <v>96</v>
      </c>
      <c r="E332" s="1" t="s">
        <v>96</v>
      </c>
      <c r="F332" s="1" t="s">
        <v>44</v>
      </c>
      <c r="G332" s="1">
        <v>22</v>
      </c>
      <c r="H332" s="1" t="s">
        <v>25</v>
      </c>
      <c r="I332" s="1" t="s">
        <v>74</v>
      </c>
      <c r="J332" s="1" t="s">
        <v>75</v>
      </c>
      <c r="K332" s="14">
        <v>3</v>
      </c>
      <c r="L332" s="1">
        <v>1853</v>
      </c>
      <c r="M332" s="1">
        <v>0</v>
      </c>
      <c r="N332" s="1">
        <f>Table1[[#This Row],[Discount]]/100</f>
        <v>0</v>
      </c>
      <c r="O332" s="1">
        <v>0</v>
      </c>
      <c r="P332" s="1">
        <v>5559</v>
      </c>
      <c r="Q332" s="1">
        <v>102</v>
      </c>
      <c r="R332" s="1">
        <v>5661</v>
      </c>
      <c r="S332" s="1" t="s">
        <v>28</v>
      </c>
      <c r="T332" s="1" t="s">
        <v>118</v>
      </c>
      <c r="U332" s="1" t="s">
        <v>53</v>
      </c>
      <c r="W332" s="18"/>
    </row>
    <row r="333" spans="1:23" x14ac:dyDescent="0.25">
      <c r="A333" s="2" t="s">
        <v>615</v>
      </c>
      <c r="B333" s="1" t="s">
        <v>616</v>
      </c>
      <c r="C333" s="8">
        <v>45950</v>
      </c>
      <c r="D333" s="1" t="s">
        <v>78</v>
      </c>
      <c r="E333" s="1" t="s">
        <v>78</v>
      </c>
      <c r="F333" s="1" t="s">
        <v>44</v>
      </c>
      <c r="G333" s="1">
        <v>58</v>
      </c>
      <c r="H333" s="1" t="s">
        <v>25</v>
      </c>
      <c r="I333" s="1" t="s">
        <v>74</v>
      </c>
      <c r="J333" s="1" t="s">
        <v>137</v>
      </c>
      <c r="K333" s="14">
        <v>3</v>
      </c>
      <c r="L333" s="1">
        <v>4717</v>
      </c>
      <c r="M333" s="1">
        <v>5</v>
      </c>
      <c r="N333" s="1">
        <f>Table1[[#This Row],[Discount]]/100</f>
        <v>0.05</v>
      </c>
      <c r="O333" s="1">
        <v>707.55</v>
      </c>
      <c r="P333" s="1">
        <v>13443.45</v>
      </c>
      <c r="Q333" s="1">
        <v>47</v>
      </c>
      <c r="R333" s="1">
        <v>13490.45</v>
      </c>
      <c r="S333" s="1" t="s">
        <v>66</v>
      </c>
      <c r="T333" s="1" t="s">
        <v>118</v>
      </c>
      <c r="U333" s="1" t="s">
        <v>30</v>
      </c>
      <c r="V333" s="11">
        <v>6</v>
      </c>
      <c r="W333" s="18">
        <v>4.5</v>
      </c>
    </row>
    <row r="334" spans="1:23" x14ac:dyDescent="0.25">
      <c r="A334" s="2" t="s">
        <v>617</v>
      </c>
      <c r="B334" s="1" t="s">
        <v>22</v>
      </c>
      <c r="C334" s="8">
        <v>45912</v>
      </c>
      <c r="D334" s="1" t="s">
        <v>96</v>
      </c>
      <c r="E334" s="1" t="s">
        <v>96</v>
      </c>
      <c r="F334" s="1" t="s">
        <v>24</v>
      </c>
      <c r="G334" s="1">
        <v>29</v>
      </c>
      <c r="H334" s="1" t="s">
        <v>69</v>
      </c>
      <c r="I334" s="1" t="s">
        <v>58</v>
      </c>
      <c r="J334" s="1" t="s">
        <v>62</v>
      </c>
      <c r="K334" s="14">
        <v>3</v>
      </c>
      <c r="L334" s="1">
        <v>2666</v>
      </c>
      <c r="M334" s="1">
        <v>15</v>
      </c>
      <c r="N334" s="1">
        <f>Table1[[#This Row],[Discount]]/100</f>
        <v>0.15</v>
      </c>
      <c r="O334" s="1">
        <v>1199.7</v>
      </c>
      <c r="P334" s="1">
        <v>6798.3</v>
      </c>
      <c r="Q334" s="1">
        <v>181</v>
      </c>
      <c r="R334" s="1">
        <v>6979.3</v>
      </c>
      <c r="S334" s="1" t="s">
        <v>47</v>
      </c>
      <c r="T334" s="1" t="s">
        <v>39</v>
      </c>
      <c r="U334" s="1" t="s">
        <v>30</v>
      </c>
      <c r="V334" s="11">
        <v>4</v>
      </c>
      <c r="W334" s="18">
        <v>4.5</v>
      </c>
    </row>
    <row r="335" spans="1:23" x14ac:dyDescent="0.25">
      <c r="A335" s="2" t="s">
        <v>618</v>
      </c>
      <c r="B335" s="1" t="s">
        <v>326</v>
      </c>
      <c r="C335" s="8">
        <v>45766</v>
      </c>
      <c r="D335" s="1" t="s">
        <v>43</v>
      </c>
      <c r="E335" s="1" t="s">
        <v>43</v>
      </c>
      <c r="F335" s="1" t="s">
        <v>44</v>
      </c>
      <c r="G335" s="1">
        <v>58</v>
      </c>
      <c r="H335" s="1" t="s">
        <v>69</v>
      </c>
      <c r="I335" s="1" t="s">
        <v>26</v>
      </c>
      <c r="J335" s="1" t="s">
        <v>283</v>
      </c>
      <c r="K335" s="14">
        <v>1</v>
      </c>
      <c r="L335" s="1">
        <v>27975</v>
      </c>
      <c r="M335" s="1">
        <v>10</v>
      </c>
      <c r="N335" s="1">
        <f>Table1[[#This Row],[Discount]]/100</f>
        <v>0.1</v>
      </c>
      <c r="O335" s="1">
        <v>2797.5</v>
      </c>
      <c r="P335" s="1">
        <v>25177.5</v>
      </c>
      <c r="Q335" s="1">
        <v>183</v>
      </c>
      <c r="R335" s="1">
        <v>25360.5</v>
      </c>
      <c r="S335" s="1" t="s">
        <v>28</v>
      </c>
      <c r="T335" s="1" t="s">
        <v>118</v>
      </c>
      <c r="U335" s="1" t="s">
        <v>30</v>
      </c>
      <c r="V335" s="11">
        <v>1</v>
      </c>
      <c r="W335" s="18">
        <v>3.5</v>
      </c>
    </row>
    <row r="336" spans="1:23" x14ac:dyDescent="0.25">
      <c r="A336" s="2" t="s">
        <v>619</v>
      </c>
      <c r="B336" s="1" t="s">
        <v>441</v>
      </c>
      <c r="C336" s="8">
        <v>45747</v>
      </c>
      <c r="D336" s="1" t="s">
        <v>110</v>
      </c>
      <c r="E336" s="1" t="s">
        <v>110</v>
      </c>
      <c r="F336" s="1" t="s">
        <v>24</v>
      </c>
      <c r="G336" s="1">
        <v>39</v>
      </c>
      <c r="H336" s="1" t="s">
        <v>57</v>
      </c>
      <c r="I336" s="1" t="s">
        <v>58</v>
      </c>
      <c r="J336" s="1" t="s">
        <v>114</v>
      </c>
      <c r="K336" s="14">
        <v>3</v>
      </c>
      <c r="L336" s="1">
        <v>1772</v>
      </c>
      <c r="M336" s="1">
        <v>20</v>
      </c>
      <c r="N336" s="1">
        <f>Table1[[#This Row],[Discount]]/100</f>
        <v>0.2</v>
      </c>
      <c r="O336" s="1">
        <v>1063.2</v>
      </c>
      <c r="P336" s="1">
        <v>4252.8</v>
      </c>
      <c r="Q336" s="1">
        <v>27</v>
      </c>
      <c r="R336" s="1">
        <v>4279.8</v>
      </c>
      <c r="S336" s="1" t="s">
        <v>93</v>
      </c>
      <c r="T336" s="1" t="s">
        <v>39</v>
      </c>
      <c r="U336" s="1" t="s">
        <v>30</v>
      </c>
      <c r="V336" s="11">
        <v>2</v>
      </c>
      <c r="W336" s="18">
        <v>4</v>
      </c>
    </row>
    <row r="337" spans="1:23" x14ac:dyDescent="0.25">
      <c r="A337" s="2" t="s">
        <v>620</v>
      </c>
      <c r="B337" s="1" t="s">
        <v>540</v>
      </c>
      <c r="C337" s="8">
        <v>45924</v>
      </c>
      <c r="D337" s="1" t="s">
        <v>23</v>
      </c>
      <c r="E337" s="1" t="s">
        <v>23</v>
      </c>
      <c r="F337" s="1" t="s">
        <v>24</v>
      </c>
      <c r="G337" s="1">
        <v>54</v>
      </c>
      <c r="H337" s="1" t="s">
        <v>69</v>
      </c>
      <c r="I337" s="1" t="s">
        <v>74</v>
      </c>
      <c r="J337" s="1" t="s">
        <v>172</v>
      </c>
      <c r="K337" s="14">
        <v>2</v>
      </c>
      <c r="L337" s="1">
        <v>4798</v>
      </c>
      <c r="M337" s="1">
        <v>15</v>
      </c>
      <c r="N337" s="1">
        <f>Table1[[#This Row],[Discount]]/100</f>
        <v>0.15</v>
      </c>
      <c r="O337" s="1">
        <v>1439.4</v>
      </c>
      <c r="P337" s="1">
        <v>8156.6</v>
      </c>
      <c r="Q337" s="1">
        <v>34</v>
      </c>
      <c r="R337" s="1">
        <v>8190.6</v>
      </c>
      <c r="S337" s="1" t="s">
        <v>52</v>
      </c>
      <c r="T337" s="1" t="s">
        <v>29</v>
      </c>
      <c r="U337" s="1" t="s">
        <v>80</v>
      </c>
      <c r="W337" s="18"/>
    </row>
    <row r="338" spans="1:23" x14ac:dyDescent="0.25">
      <c r="A338" s="2" t="s">
        <v>621</v>
      </c>
      <c r="B338" s="1" t="s">
        <v>237</v>
      </c>
      <c r="C338" s="8">
        <v>45931</v>
      </c>
      <c r="D338" s="1" t="s">
        <v>153</v>
      </c>
      <c r="E338" s="1" t="s">
        <v>153</v>
      </c>
      <c r="F338" s="1" t="s">
        <v>24</v>
      </c>
      <c r="G338" s="1">
        <v>28</v>
      </c>
      <c r="H338" s="1" t="s">
        <v>57</v>
      </c>
      <c r="I338" s="1" t="s">
        <v>74</v>
      </c>
      <c r="J338" s="1" t="s">
        <v>409</v>
      </c>
      <c r="K338" s="14">
        <v>3</v>
      </c>
      <c r="L338" s="1">
        <v>942</v>
      </c>
      <c r="M338" s="1">
        <v>10</v>
      </c>
      <c r="N338" s="1">
        <f>Table1[[#This Row],[Discount]]/100</f>
        <v>0.1</v>
      </c>
      <c r="O338" s="1">
        <v>282.60000000000002</v>
      </c>
      <c r="P338" s="1">
        <v>2543.4</v>
      </c>
      <c r="Q338" s="1">
        <v>180</v>
      </c>
      <c r="R338" s="1">
        <v>2723.4</v>
      </c>
      <c r="S338" s="1" t="s">
        <v>47</v>
      </c>
      <c r="T338" s="1" t="s">
        <v>29</v>
      </c>
      <c r="U338" s="1" t="s">
        <v>70</v>
      </c>
      <c r="W338" s="18"/>
    </row>
    <row r="339" spans="1:23" x14ac:dyDescent="0.25">
      <c r="A339" s="2" t="s">
        <v>622</v>
      </c>
      <c r="B339" s="1" t="s">
        <v>242</v>
      </c>
      <c r="C339" s="8">
        <v>45768</v>
      </c>
      <c r="D339" s="1" t="s">
        <v>43</v>
      </c>
      <c r="E339" s="1" t="s">
        <v>43</v>
      </c>
      <c r="F339" s="1" t="s">
        <v>44</v>
      </c>
      <c r="G339" s="1">
        <v>37</v>
      </c>
      <c r="H339" s="1" t="s">
        <v>50</v>
      </c>
      <c r="I339" s="1" t="s">
        <v>88</v>
      </c>
      <c r="J339" s="1" t="s">
        <v>207</v>
      </c>
      <c r="K339" s="14">
        <v>1</v>
      </c>
      <c r="L339" s="1">
        <v>1722</v>
      </c>
      <c r="M339" s="1">
        <v>10</v>
      </c>
      <c r="N339" s="1">
        <f>Table1[[#This Row],[Discount]]/100</f>
        <v>0.1</v>
      </c>
      <c r="O339" s="1">
        <v>172.2</v>
      </c>
      <c r="P339" s="1">
        <v>1549.8</v>
      </c>
      <c r="Q339" s="1">
        <v>97</v>
      </c>
      <c r="R339" s="1">
        <v>1646.8</v>
      </c>
      <c r="S339" s="1" t="s">
        <v>47</v>
      </c>
      <c r="T339" s="1" t="s">
        <v>39</v>
      </c>
      <c r="U339" s="1" t="s">
        <v>30</v>
      </c>
      <c r="V339" s="11">
        <v>5</v>
      </c>
      <c r="W339" s="18">
        <v>3.5</v>
      </c>
    </row>
    <row r="340" spans="1:23" x14ac:dyDescent="0.25">
      <c r="A340" s="2" t="s">
        <v>623</v>
      </c>
      <c r="B340" s="1" t="s">
        <v>174</v>
      </c>
      <c r="C340" s="8">
        <v>45825</v>
      </c>
      <c r="D340" s="1" t="s">
        <v>78</v>
      </c>
      <c r="E340" s="1" t="s">
        <v>78</v>
      </c>
      <c r="F340" s="1" t="s">
        <v>24</v>
      </c>
      <c r="G340" s="1">
        <v>24</v>
      </c>
      <c r="H340" s="1" t="s">
        <v>35</v>
      </c>
      <c r="I340" s="1" t="s">
        <v>58</v>
      </c>
      <c r="J340" s="1" t="s">
        <v>104</v>
      </c>
      <c r="K340" s="14">
        <v>4</v>
      </c>
      <c r="L340" s="1">
        <v>3933</v>
      </c>
      <c r="M340" s="1">
        <v>25</v>
      </c>
      <c r="N340" s="1">
        <f>Table1[[#This Row],[Discount]]/100</f>
        <v>0.25</v>
      </c>
      <c r="O340" s="1">
        <v>3933</v>
      </c>
      <c r="P340" s="1">
        <v>11799</v>
      </c>
      <c r="Q340" s="1">
        <v>99</v>
      </c>
      <c r="R340" s="1">
        <v>11898</v>
      </c>
      <c r="S340" s="1" t="s">
        <v>47</v>
      </c>
      <c r="T340" s="1" t="s">
        <v>29</v>
      </c>
      <c r="U340" s="1" t="s">
        <v>80</v>
      </c>
      <c r="W340" s="18"/>
    </row>
    <row r="341" spans="1:23" x14ac:dyDescent="0.25">
      <c r="A341" s="2" t="s">
        <v>624</v>
      </c>
      <c r="B341" s="1" t="s">
        <v>449</v>
      </c>
      <c r="C341" s="8">
        <v>45897</v>
      </c>
      <c r="D341" s="1" t="s">
        <v>153</v>
      </c>
      <c r="E341" s="1" t="s">
        <v>153</v>
      </c>
      <c r="F341" s="1" t="s">
        <v>24</v>
      </c>
      <c r="G341" s="1">
        <v>24</v>
      </c>
      <c r="H341" s="1" t="s">
        <v>69</v>
      </c>
      <c r="I341" s="1" t="s">
        <v>45</v>
      </c>
      <c r="J341" s="1" t="s">
        <v>146</v>
      </c>
      <c r="K341" s="14">
        <v>5</v>
      </c>
      <c r="L341" s="1">
        <v>260</v>
      </c>
      <c r="M341" s="1">
        <v>20</v>
      </c>
      <c r="N341" s="1">
        <f>Table1[[#This Row],[Discount]]/100</f>
        <v>0.2</v>
      </c>
      <c r="O341" s="1">
        <v>260</v>
      </c>
      <c r="P341" s="1">
        <v>1040</v>
      </c>
      <c r="Q341" s="1">
        <v>105</v>
      </c>
      <c r="R341" s="1">
        <v>1145</v>
      </c>
      <c r="S341" s="1" t="s">
        <v>28</v>
      </c>
      <c r="T341" s="1" t="s">
        <v>29</v>
      </c>
      <c r="U341" s="1" t="s">
        <v>80</v>
      </c>
      <c r="W341" s="18"/>
    </row>
    <row r="342" spans="1:23" x14ac:dyDescent="0.25">
      <c r="A342" s="2" t="s">
        <v>625</v>
      </c>
      <c r="B342" s="1" t="s">
        <v>329</v>
      </c>
      <c r="C342" s="8">
        <v>45734</v>
      </c>
      <c r="D342" s="1" t="s">
        <v>140</v>
      </c>
      <c r="E342" s="1" t="s">
        <v>141</v>
      </c>
      <c r="F342" s="1" t="s">
        <v>34</v>
      </c>
      <c r="G342" s="1">
        <v>35</v>
      </c>
      <c r="H342" s="1" t="s">
        <v>25</v>
      </c>
      <c r="I342" s="1" t="s">
        <v>88</v>
      </c>
      <c r="J342" s="1" t="s">
        <v>213</v>
      </c>
      <c r="K342" s="14">
        <v>3</v>
      </c>
      <c r="L342" s="1">
        <v>4995</v>
      </c>
      <c r="M342" s="1">
        <v>15</v>
      </c>
      <c r="N342" s="1">
        <f>Table1[[#This Row],[Discount]]/100</f>
        <v>0.15</v>
      </c>
      <c r="O342" s="1">
        <v>2247.75</v>
      </c>
      <c r="P342" s="1">
        <v>12737.25</v>
      </c>
      <c r="Q342" s="1">
        <v>89</v>
      </c>
      <c r="R342" s="1">
        <v>12826.25</v>
      </c>
      <c r="S342" s="1" t="s">
        <v>52</v>
      </c>
      <c r="T342" s="1" t="s">
        <v>29</v>
      </c>
      <c r="U342" s="1" t="s">
        <v>40</v>
      </c>
      <c r="V342" s="11">
        <v>2</v>
      </c>
      <c r="W342" s="18"/>
    </row>
    <row r="343" spans="1:23" x14ac:dyDescent="0.25">
      <c r="A343" s="2" t="s">
        <v>626</v>
      </c>
      <c r="B343" s="1" t="s">
        <v>627</v>
      </c>
      <c r="C343" s="8">
        <v>45694</v>
      </c>
      <c r="D343" s="1" t="s">
        <v>43</v>
      </c>
      <c r="E343" s="1" t="s">
        <v>43</v>
      </c>
      <c r="F343" s="1" t="s">
        <v>44</v>
      </c>
      <c r="G343" s="1">
        <v>57</v>
      </c>
      <c r="H343" s="1" t="s">
        <v>50</v>
      </c>
      <c r="I343" s="1" t="s">
        <v>74</v>
      </c>
      <c r="J343" s="1" t="s">
        <v>409</v>
      </c>
      <c r="K343" s="14">
        <v>3</v>
      </c>
      <c r="L343" s="1">
        <v>3009</v>
      </c>
      <c r="M343" s="1">
        <v>10</v>
      </c>
      <c r="N343" s="1">
        <f>Table1[[#This Row],[Discount]]/100</f>
        <v>0.1</v>
      </c>
      <c r="O343" s="1">
        <v>902.7</v>
      </c>
      <c r="P343" s="1">
        <v>8124.3</v>
      </c>
      <c r="Q343" s="1">
        <v>63</v>
      </c>
      <c r="R343" s="1">
        <v>8187.3</v>
      </c>
      <c r="S343" s="1" t="s">
        <v>47</v>
      </c>
      <c r="T343" s="1" t="s">
        <v>39</v>
      </c>
      <c r="U343" s="1" t="s">
        <v>30</v>
      </c>
      <c r="V343" s="11">
        <v>3</v>
      </c>
      <c r="W343" s="18">
        <v>4</v>
      </c>
    </row>
    <row r="344" spans="1:23" x14ac:dyDescent="0.25">
      <c r="A344" s="2" t="s">
        <v>628</v>
      </c>
      <c r="B344" s="1" t="s">
        <v>358</v>
      </c>
      <c r="C344" s="8">
        <v>45980</v>
      </c>
      <c r="D344" s="1" t="s">
        <v>78</v>
      </c>
      <c r="E344" s="1" t="s">
        <v>78</v>
      </c>
      <c r="F344" s="1" t="s">
        <v>44</v>
      </c>
      <c r="G344" s="1">
        <v>46</v>
      </c>
      <c r="H344" s="1" t="s">
        <v>69</v>
      </c>
      <c r="I344" s="1" t="s">
        <v>36</v>
      </c>
      <c r="J344" s="1" t="s">
        <v>177</v>
      </c>
      <c r="K344" s="14">
        <v>1</v>
      </c>
      <c r="L344" s="1">
        <v>1866</v>
      </c>
      <c r="M344" s="1">
        <v>25</v>
      </c>
      <c r="N344" s="1">
        <f>Table1[[#This Row],[Discount]]/100</f>
        <v>0.25</v>
      </c>
      <c r="O344" s="1">
        <v>466.5</v>
      </c>
      <c r="P344" s="1">
        <v>1399.5</v>
      </c>
      <c r="Q344" s="1">
        <v>171</v>
      </c>
      <c r="R344" s="1">
        <v>1570.5</v>
      </c>
      <c r="S344" s="1" t="s">
        <v>47</v>
      </c>
      <c r="T344" s="1" t="s">
        <v>29</v>
      </c>
      <c r="U344" s="1" t="s">
        <v>30</v>
      </c>
      <c r="V344" s="11">
        <v>7</v>
      </c>
      <c r="W344" s="18">
        <v>4.5</v>
      </c>
    </row>
    <row r="345" spans="1:23" x14ac:dyDescent="0.25">
      <c r="A345" s="2" t="s">
        <v>629</v>
      </c>
      <c r="B345" s="1" t="s">
        <v>139</v>
      </c>
      <c r="C345" s="8">
        <v>45816</v>
      </c>
      <c r="D345" s="1" t="s">
        <v>140</v>
      </c>
      <c r="E345" s="1" t="s">
        <v>141</v>
      </c>
      <c r="F345" s="1" t="s">
        <v>44</v>
      </c>
      <c r="G345" s="1">
        <v>59</v>
      </c>
      <c r="H345" s="1" t="s">
        <v>57</v>
      </c>
      <c r="I345" s="1" t="s">
        <v>36</v>
      </c>
      <c r="J345" s="1" t="s">
        <v>37</v>
      </c>
      <c r="K345" s="14">
        <v>1</v>
      </c>
      <c r="L345" s="1">
        <v>6972</v>
      </c>
      <c r="M345" s="1">
        <v>25</v>
      </c>
      <c r="N345" s="1">
        <f>Table1[[#This Row],[Discount]]/100</f>
        <v>0.25</v>
      </c>
      <c r="O345" s="1">
        <v>1743</v>
      </c>
      <c r="P345" s="1">
        <v>5229</v>
      </c>
      <c r="Q345" s="1">
        <v>136</v>
      </c>
      <c r="R345" s="1">
        <v>5365</v>
      </c>
      <c r="S345" s="1" t="s">
        <v>47</v>
      </c>
      <c r="T345" s="1" t="s">
        <v>39</v>
      </c>
      <c r="U345" s="1" t="s">
        <v>30</v>
      </c>
      <c r="V345" s="11">
        <v>6</v>
      </c>
      <c r="W345" s="18">
        <v>5</v>
      </c>
    </row>
    <row r="346" spans="1:23" x14ac:dyDescent="0.25">
      <c r="A346" s="2" t="s">
        <v>630</v>
      </c>
      <c r="B346" s="1" t="s">
        <v>109</v>
      </c>
      <c r="C346" s="8">
        <v>45837</v>
      </c>
      <c r="D346" s="1" t="s">
        <v>56</v>
      </c>
      <c r="E346" s="1" t="s">
        <v>56</v>
      </c>
      <c r="F346" s="1" t="s">
        <v>44</v>
      </c>
      <c r="G346" s="1">
        <v>47</v>
      </c>
      <c r="H346" s="1" t="s">
        <v>25</v>
      </c>
      <c r="I346" s="1" t="s">
        <v>58</v>
      </c>
      <c r="J346" s="1" t="s">
        <v>62</v>
      </c>
      <c r="K346" s="14">
        <v>3</v>
      </c>
      <c r="L346" s="1">
        <v>2006</v>
      </c>
      <c r="M346" s="1">
        <v>0</v>
      </c>
      <c r="N346" s="1">
        <f>Table1[[#This Row],[Discount]]/100</f>
        <v>0</v>
      </c>
      <c r="O346" s="1">
        <v>0</v>
      </c>
      <c r="P346" s="1">
        <v>6018</v>
      </c>
      <c r="Q346" s="1">
        <v>48</v>
      </c>
      <c r="R346" s="1">
        <v>6066</v>
      </c>
      <c r="S346" s="1" t="s">
        <v>52</v>
      </c>
      <c r="T346" s="1" t="s">
        <v>39</v>
      </c>
      <c r="U346" s="1" t="s">
        <v>30</v>
      </c>
      <c r="V346" s="11">
        <v>4</v>
      </c>
      <c r="W346" s="18">
        <v>3.5</v>
      </c>
    </row>
    <row r="347" spans="1:23" x14ac:dyDescent="0.25">
      <c r="A347" s="2" t="s">
        <v>631</v>
      </c>
      <c r="B347" s="1" t="s">
        <v>632</v>
      </c>
      <c r="C347" s="8">
        <v>45975</v>
      </c>
      <c r="D347" s="1" t="s">
        <v>120</v>
      </c>
      <c r="E347" s="1" t="s">
        <v>120</v>
      </c>
      <c r="F347" s="1" t="s">
        <v>44</v>
      </c>
      <c r="G347" s="1">
        <v>53</v>
      </c>
      <c r="H347" s="1" t="s">
        <v>57</v>
      </c>
      <c r="I347" s="1" t="s">
        <v>26</v>
      </c>
      <c r="J347" s="1" t="s">
        <v>283</v>
      </c>
      <c r="K347" s="14">
        <v>1</v>
      </c>
      <c r="L347" s="1">
        <v>43512</v>
      </c>
      <c r="M347" s="1">
        <v>15</v>
      </c>
      <c r="N347" s="1">
        <f>Table1[[#This Row],[Discount]]/100</f>
        <v>0.15</v>
      </c>
      <c r="O347" s="1">
        <v>6526.8</v>
      </c>
      <c r="P347" s="1">
        <v>36985.199999999997</v>
      </c>
      <c r="Q347" s="1">
        <v>81</v>
      </c>
      <c r="R347" s="1">
        <v>37066.199999999997</v>
      </c>
      <c r="S347" s="1" t="s">
        <v>28</v>
      </c>
      <c r="T347" s="1" t="s">
        <v>118</v>
      </c>
      <c r="U347" s="1" t="s">
        <v>30</v>
      </c>
      <c r="V347" s="11">
        <v>2</v>
      </c>
      <c r="W347" s="18">
        <v>3.5</v>
      </c>
    </row>
    <row r="348" spans="1:23" x14ac:dyDescent="0.25">
      <c r="A348" s="2" t="s">
        <v>633</v>
      </c>
      <c r="B348" s="1" t="s">
        <v>329</v>
      </c>
      <c r="C348" s="8">
        <v>46022</v>
      </c>
      <c r="D348" s="1" t="s">
        <v>33</v>
      </c>
      <c r="E348" s="1" t="s">
        <v>33</v>
      </c>
      <c r="F348" s="1" t="s">
        <v>24</v>
      </c>
      <c r="G348" s="1">
        <v>49</v>
      </c>
      <c r="H348" s="1" t="s">
        <v>25</v>
      </c>
      <c r="I348" s="1" t="s">
        <v>36</v>
      </c>
      <c r="J348" s="1" t="s">
        <v>37</v>
      </c>
      <c r="K348" s="14">
        <v>4</v>
      </c>
      <c r="L348" s="1">
        <v>2334</v>
      </c>
      <c r="M348" s="1">
        <v>5</v>
      </c>
      <c r="N348" s="1">
        <f>Table1[[#This Row],[Discount]]/100</f>
        <v>0.05</v>
      </c>
      <c r="O348" s="1">
        <v>466.8</v>
      </c>
      <c r="P348" s="1">
        <v>8869.2000000000007</v>
      </c>
      <c r="Q348" s="1">
        <v>39</v>
      </c>
      <c r="R348" s="1">
        <v>8908.2000000000007</v>
      </c>
      <c r="S348" s="1" t="s">
        <v>93</v>
      </c>
      <c r="T348" s="1" t="s">
        <v>118</v>
      </c>
      <c r="U348" s="1" t="s">
        <v>40</v>
      </c>
      <c r="V348" s="11">
        <v>5</v>
      </c>
      <c r="W348" s="18"/>
    </row>
    <row r="349" spans="1:23" x14ac:dyDescent="0.25">
      <c r="A349" s="2" t="s">
        <v>634</v>
      </c>
      <c r="B349" s="1" t="s">
        <v>181</v>
      </c>
      <c r="C349" s="8">
        <v>45825</v>
      </c>
      <c r="D349" s="1" t="s">
        <v>120</v>
      </c>
      <c r="E349" s="1" t="s">
        <v>120</v>
      </c>
      <c r="F349" s="1" t="s">
        <v>34</v>
      </c>
      <c r="G349" s="1">
        <v>59</v>
      </c>
      <c r="H349" s="1" t="s">
        <v>50</v>
      </c>
      <c r="I349" s="1" t="s">
        <v>26</v>
      </c>
      <c r="J349" s="1" t="s">
        <v>283</v>
      </c>
      <c r="K349" s="14">
        <v>2</v>
      </c>
      <c r="L349" s="1">
        <v>41174</v>
      </c>
      <c r="M349" s="1">
        <v>20</v>
      </c>
      <c r="N349" s="1">
        <f>Table1[[#This Row],[Discount]]/100</f>
        <v>0.2</v>
      </c>
      <c r="O349" s="1">
        <v>16469.599999999999</v>
      </c>
      <c r="P349" s="1">
        <v>65878.399999999994</v>
      </c>
      <c r="Q349" s="1">
        <v>117</v>
      </c>
      <c r="R349" s="1">
        <v>65995.399999999994</v>
      </c>
      <c r="S349" s="1" t="s">
        <v>47</v>
      </c>
      <c r="T349" s="1" t="s">
        <v>39</v>
      </c>
      <c r="U349" s="1" t="s">
        <v>53</v>
      </c>
      <c r="W349" s="18"/>
    </row>
    <row r="350" spans="1:23" x14ac:dyDescent="0.25">
      <c r="A350" s="2" t="s">
        <v>635</v>
      </c>
      <c r="B350" s="1" t="s">
        <v>636</v>
      </c>
      <c r="C350" s="8">
        <v>46006</v>
      </c>
      <c r="D350" s="1" t="s">
        <v>107</v>
      </c>
      <c r="E350" s="1" t="s">
        <v>107</v>
      </c>
      <c r="F350" s="1" t="s">
        <v>24</v>
      </c>
      <c r="G350" s="1">
        <v>37</v>
      </c>
      <c r="H350" s="1" t="s">
        <v>69</v>
      </c>
      <c r="I350" s="1" t="s">
        <v>58</v>
      </c>
      <c r="J350" s="1" t="s">
        <v>104</v>
      </c>
      <c r="K350" s="14">
        <v>2</v>
      </c>
      <c r="L350" s="1">
        <v>1747</v>
      </c>
      <c r="M350" s="1">
        <v>20</v>
      </c>
      <c r="N350" s="1">
        <f>Table1[[#This Row],[Discount]]/100</f>
        <v>0.2</v>
      </c>
      <c r="O350" s="1">
        <v>698.8</v>
      </c>
      <c r="P350" s="1">
        <v>2795.2</v>
      </c>
      <c r="Q350" s="1">
        <v>72</v>
      </c>
      <c r="R350" s="1">
        <v>2867.2</v>
      </c>
      <c r="S350" s="1" t="s">
        <v>93</v>
      </c>
      <c r="T350" s="1" t="s">
        <v>29</v>
      </c>
      <c r="U350" s="1" t="s">
        <v>30</v>
      </c>
      <c r="V350" s="11">
        <v>3</v>
      </c>
      <c r="W350" s="18">
        <v>4.5</v>
      </c>
    </row>
    <row r="351" spans="1:23" x14ac:dyDescent="0.25">
      <c r="A351" s="2" t="s">
        <v>637</v>
      </c>
      <c r="B351" s="1" t="s">
        <v>485</v>
      </c>
      <c r="C351" s="8">
        <v>45939</v>
      </c>
      <c r="D351" s="1" t="s">
        <v>107</v>
      </c>
      <c r="E351" s="1" t="s">
        <v>107</v>
      </c>
      <c r="F351" s="1" t="s">
        <v>44</v>
      </c>
      <c r="G351" s="1">
        <v>18</v>
      </c>
      <c r="H351" s="1" t="s">
        <v>50</v>
      </c>
      <c r="I351" s="1" t="s">
        <v>88</v>
      </c>
      <c r="J351" s="1" t="s">
        <v>89</v>
      </c>
      <c r="K351" s="14">
        <v>5</v>
      </c>
      <c r="L351" s="1">
        <v>8662</v>
      </c>
      <c r="M351" s="1">
        <v>10</v>
      </c>
      <c r="N351" s="1">
        <f>Table1[[#This Row],[Discount]]/100</f>
        <v>0.1</v>
      </c>
      <c r="O351" s="1">
        <v>4331</v>
      </c>
      <c r="P351" s="1">
        <v>38979</v>
      </c>
      <c r="Q351" s="1">
        <v>250</v>
      </c>
      <c r="R351" s="1">
        <v>39229</v>
      </c>
      <c r="S351" s="1" t="s">
        <v>38</v>
      </c>
      <c r="T351" s="1" t="s">
        <v>39</v>
      </c>
      <c r="U351" s="1" t="s">
        <v>30</v>
      </c>
      <c r="V351" s="11">
        <v>1</v>
      </c>
      <c r="W351" s="18">
        <v>5</v>
      </c>
    </row>
    <row r="352" spans="1:23" x14ac:dyDescent="0.25">
      <c r="A352" s="2" t="s">
        <v>638</v>
      </c>
      <c r="B352" s="1" t="s">
        <v>639</v>
      </c>
      <c r="C352" s="8">
        <v>45729</v>
      </c>
      <c r="D352" s="1" t="s">
        <v>33</v>
      </c>
      <c r="E352" s="1" t="s">
        <v>33</v>
      </c>
      <c r="F352" s="1" t="s">
        <v>44</v>
      </c>
      <c r="G352" s="1">
        <v>53</v>
      </c>
      <c r="H352" s="1" t="s">
        <v>57</v>
      </c>
      <c r="I352" s="1" t="s">
        <v>45</v>
      </c>
      <c r="J352" s="1" t="s">
        <v>84</v>
      </c>
      <c r="K352" s="14">
        <v>4</v>
      </c>
      <c r="L352" s="1">
        <v>1642</v>
      </c>
      <c r="M352" s="1">
        <v>5</v>
      </c>
      <c r="N352" s="1">
        <f>Table1[[#This Row],[Discount]]/100</f>
        <v>0.05</v>
      </c>
      <c r="O352" s="1">
        <v>328.4</v>
      </c>
      <c r="P352" s="1">
        <v>6239.6</v>
      </c>
      <c r="Q352" s="1">
        <v>141</v>
      </c>
      <c r="R352" s="1">
        <v>6380.6</v>
      </c>
      <c r="S352" s="1" t="s">
        <v>47</v>
      </c>
      <c r="T352" s="1" t="s">
        <v>118</v>
      </c>
      <c r="U352" s="1" t="s">
        <v>40</v>
      </c>
      <c r="V352" s="11">
        <v>2</v>
      </c>
      <c r="W352" s="18"/>
    </row>
    <row r="353" spans="1:23" x14ac:dyDescent="0.25">
      <c r="A353" s="2" t="s">
        <v>640</v>
      </c>
      <c r="B353" s="1" t="s">
        <v>55</v>
      </c>
      <c r="C353" s="8">
        <v>45701</v>
      </c>
      <c r="D353" s="1" t="s">
        <v>87</v>
      </c>
      <c r="E353" s="1" t="s">
        <v>87</v>
      </c>
      <c r="F353" s="1" t="s">
        <v>44</v>
      </c>
      <c r="G353" s="1">
        <v>59</v>
      </c>
      <c r="H353" s="1" t="s">
        <v>57</v>
      </c>
      <c r="I353" s="1" t="s">
        <v>36</v>
      </c>
      <c r="J353" s="1" t="s">
        <v>159</v>
      </c>
      <c r="K353" s="14">
        <v>2</v>
      </c>
      <c r="L353" s="1">
        <v>7649</v>
      </c>
      <c r="M353" s="1">
        <v>15</v>
      </c>
      <c r="N353" s="1">
        <f>Table1[[#This Row],[Discount]]/100</f>
        <v>0.15</v>
      </c>
      <c r="O353" s="1">
        <v>2294.6999999999998</v>
      </c>
      <c r="P353" s="1">
        <v>13003.3</v>
      </c>
      <c r="Q353" s="1">
        <v>54</v>
      </c>
      <c r="R353" s="1">
        <v>13057.3</v>
      </c>
      <c r="S353" s="1" t="s">
        <v>66</v>
      </c>
      <c r="T353" s="1" t="s">
        <v>29</v>
      </c>
      <c r="U353" s="1" t="s">
        <v>40</v>
      </c>
      <c r="V353" s="11">
        <v>2</v>
      </c>
      <c r="W353" s="18"/>
    </row>
    <row r="354" spans="1:23" x14ac:dyDescent="0.25">
      <c r="A354" s="2" t="s">
        <v>641</v>
      </c>
      <c r="B354" s="1" t="s">
        <v>280</v>
      </c>
      <c r="C354" s="8">
        <v>45875</v>
      </c>
      <c r="D354" s="1" t="s">
        <v>107</v>
      </c>
      <c r="E354" s="1" t="s">
        <v>107</v>
      </c>
      <c r="F354" s="1" t="s">
        <v>24</v>
      </c>
      <c r="G354" s="1">
        <v>18</v>
      </c>
      <c r="H354" s="1" t="s">
        <v>35</v>
      </c>
      <c r="I354" s="1" t="s">
        <v>45</v>
      </c>
      <c r="J354" s="1" t="s">
        <v>84</v>
      </c>
      <c r="K354" s="14">
        <v>2</v>
      </c>
      <c r="L354" s="1">
        <v>2341</v>
      </c>
      <c r="M354" s="1">
        <v>15</v>
      </c>
      <c r="N354" s="1">
        <f>Table1[[#This Row],[Discount]]/100</f>
        <v>0.15</v>
      </c>
      <c r="O354" s="1">
        <v>702.3</v>
      </c>
      <c r="P354" s="1">
        <v>3979.7</v>
      </c>
      <c r="Q354" s="1">
        <v>67</v>
      </c>
      <c r="R354" s="1">
        <v>4046.7</v>
      </c>
      <c r="S354" s="1" t="s">
        <v>66</v>
      </c>
      <c r="T354" s="1" t="s">
        <v>29</v>
      </c>
      <c r="U354" s="1" t="s">
        <v>30</v>
      </c>
      <c r="V354" s="11">
        <v>5</v>
      </c>
      <c r="W354" s="18">
        <v>4.5</v>
      </c>
    </row>
    <row r="355" spans="1:23" x14ac:dyDescent="0.25">
      <c r="A355" s="2" t="s">
        <v>642</v>
      </c>
      <c r="B355" s="1" t="s">
        <v>643</v>
      </c>
      <c r="C355" s="8">
        <v>46011</v>
      </c>
      <c r="D355" s="1" t="s">
        <v>110</v>
      </c>
      <c r="E355" s="1" t="s">
        <v>110</v>
      </c>
      <c r="F355" s="1" t="s">
        <v>24</v>
      </c>
      <c r="G355" s="1">
        <v>27</v>
      </c>
      <c r="H355" s="1" t="s">
        <v>69</v>
      </c>
      <c r="I355" s="1" t="s">
        <v>45</v>
      </c>
      <c r="J355" s="1" t="s">
        <v>84</v>
      </c>
      <c r="K355" s="14">
        <v>5</v>
      </c>
      <c r="L355" s="1">
        <v>2407</v>
      </c>
      <c r="M355" s="1">
        <v>10</v>
      </c>
      <c r="N355" s="1">
        <f>Table1[[#This Row],[Discount]]/100</f>
        <v>0.1</v>
      </c>
      <c r="O355" s="1">
        <v>1203.5</v>
      </c>
      <c r="P355" s="1">
        <v>10831.5</v>
      </c>
      <c r="Q355" s="1">
        <v>143</v>
      </c>
      <c r="R355" s="1">
        <v>10974.5</v>
      </c>
      <c r="S355" s="1" t="s">
        <v>93</v>
      </c>
      <c r="T355" s="1" t="s">
        <v>29</v>
      </c>
      <c r="U355" s="1" t="s">
        <v>30</v>
      </c>
      <c r="V355" s="11">
        <v>1</v>
      </c>
      <c r="W355" s="18">
        <v>5</v>
      </c>
    </row>
    <row r="356" spans="1:23" x14ac:dyDescent="0.25">
      <c r="A356" s="2" t="s">
        <v>644</v>
      </c>
      <c r="B356" s="1" t="s">
        <v>297</v>
      </c>
      <c r="C356" s="8">
        <v>45931</v>
      </c>
      <c r="D356" s="1" t="s">
        <v>43</v>
      </c>
      <c r="E356" s="1" t="s">
        <v>43</v>
      </c>
      <c r="F356" s="1" t="s">
        <v>24</v>
      </c>
      <c r="G356" s="1">
        <v>18</v>
      </c>
      <c r="H356" s="1" t="s">
        <v>57</v>
      </c>
      <c r="I356" s="1" t="s">
        <v>58</v>
      </c>
      <c r="J356" s="1" t="s">
        <v>114</v>
      </c>
      <c r="K356" s="14">
        <v>1</v>
      </c>
      <c r="L356" s="1">
        <v>3419</v>
      </c>
      <c r="M356" s="1">
        <v>10</v>
      </c>
      <c r="N356" s="1">
        <f>Table1[[#This Row],[Discount]]/100</f>
        <v>0.1</v>
      </c>
      <c r="O356" s="1">
        <v>341.9</v>
      </c>
      <c r="P356" s="1">
        <v>3077.1</v>
      </c>
      <c r="Q356" s="1">
        <v>107</v>
      </c>
      <c r="R356" s="1">
        <v>3184.1</v>
      </c>
      <c r="S356" s="1" t="s">
        <v>52</v>
      </c>
      <c r="T356" s="1" t="s">
        <v>29</v>
      </c>
      <c r="U356" s="1" t="s">
        <v>30</v>
      </c>
      <c r="V356" s="11">
        <v>7</v>
      </c>
      <c r="W356" s="18">
        <v>4</v>
      </c>
    </row>
    <row r="357" spans="1:23" x14ac:dyDescent="0.25">
      <c r="A357" s="2" t="s">
        <v>645</v>
      </c>
      <c r="B357" s="1" t="s">
        <v>235</v>
      </c>
      <c r="C357" s="8">
        <v>45900</v>
      </c>
      <c r="D357" s="1" t="s">
        <v>83</v>
      </c>
      <c r="E357" s="1" t="s">
        <v>83</v>
      </c>
      <c r="F357" s="1" t="s">
        <v>24</v>
      </c>
      <c r="G357" s="1">
        <v>28</v>
      </c>
      <c r="H357" s="1" t="s">
        <v>69</v>
      </c>
      <c r="I357" s="1" t="s">
        <v>45</v>
      </c>
      <c r="J357" s="1" t="s">
        <v>111</v>
      </c>
      <c r="K357" s="14">
        <v>3</v>
      </c>
      <c r="L357" s="1">
        <v>1325</v>
      </c>
      <c r="M357" s="1">
        <v>20</v>
      </c>
      <c r="N357" s="1">
        <f>Table1[[#This Row],[Discount]]/100</f>
        <v>0.2</v>
      </c>
      <c r="O357" s="1">
        <v>795</v>
      </c>
      <c r="P357" s="1">
        <v>3180</v>
      </c>
      <c r="Q357" s="1">
        <v>181</v>
      </c>
      <c r="R357" s="1">
        <v>3361</v>
      </c>
      <c r="S357" s="1" t="s">
        <v>66</v>
      </c>
      <c r="T357" s="1" t="s">
        <v>29</v>
      </c>
      <c r="U357" s="1" t="s">
        <v>30</v>
      </c>
      <c r="V357" s="11">
        <v>5</v>
      </c>
      <c r="W357" s="18">
        <v>4.5</v>
      </c>
    </row>
    <row r="358" spans="1:23" x14ac:dyDescent="0.25">
      <c r="A358" s="2" t="s">
        <v>646</v>
      </c>
      <c r="B358" s="1" t="s">
        <v>289</v>
      </c>
      <c r="C358" s="8">
        <v>45789</v>
      </c>
      <c r="D358" s="1" t="s">
        <v>153</v>
      </c>
      <c r="E358" s="1" t="s">
        <v>153</v>
      </c>
      <c r="F358" s="1" t="s">
        <v>24</v>
      </c>
      <c r="G358" s="1">
        <v>25</v>
      </c>
      <c r="H358" s="1" t="s">
        <v>35</v>
      </c>
      <c r="I358" s="1" t="s">
        <v>88</v>
      </c>
      <c r="J358" s="1" t="s">
        <v>162</v>
      </c>
      <c r="K358" s="14">
        <v>1</v>
      </c>
      <c r="L358" s="1">
        <v>1559</v>
      </c>
      <c r="M358" s="1">
        <v>20</v>
      </c>
      <c r="N358" s="1">
        <f>Table1[[#This Row],[Discount]]/100</f>
        <v>0.2</v>
      </c>
      <c r="O358" s="1">
        <v>311.8</v>
      </c>
      <c r="P358" s="1">
        <v>1247.2</v>
      </c>
      <c r="Q358" s="1">
        <v>239</v>
      </c>
      <c r="R358" s="1">
        <v>1486.2</v>
      </c>
      <c r="S358" s="1" t="s">
        <v>66</v>
      </c>
      <c r="T358" s="1" t="s">
        <v>118</v>
      </c>
      <c r="U358" s="1" t="s">
        <v>30</v>
      </c>
      <c r="V358" s="11">
        <v>1</v>
      </c>
      <c r="W358" s="18">
        <v>4.5</v>
      </c>
    </row>
    <row r="359" spans="1:23" x14ac:dyDescent="0.25">
      <c r="A359" s="2" t="s">
        <v>647</v>
      </c>
      <c r="B359" s="1" t="s">
        <v>195</v>
      </c>
      <c r="C359" s="8">
        <v>45736</v>
      </c>
      <c r="D359" s="1" t="s">
        <v>83</v>
      </c>
      <c r="E359" s="1" t="s">
        <v>83</v>
      </c>
      <c r="F359" s="1" t="s">
        <v>44</v>
      </c>
      <c r="G359" s="1">
        <v>49</v>
      </c>
      <c r="H359" s="1" t="s">
        <v>35</v>
      </c>
      <c r="I359" s="1" t="s">
        <v>74</v>
      </c>
      <c r="J359" s="1" t="s">
        <v>97</v>
      </c>
      <c r="K359" s="14">
        <v>2</v>
      </c>
      <c r="L359" s="1">
        <v>1881</v>
      </c>
      <c r="M359" s="1">
        <v>5</v>
      </c>
      <c r="N359" s="1">
        <f>Table1[[#This Row],[Discount]]/100</f>
        <v>0.05</v>
      </c>
      <c r="O359" s="1">
        <v>188.1</v>
      </c>
      <c r="P359" s="1">
        <v>3573.9</v>
      </c>
      <c r="Q359" s="1">
        <v>230</v>
      </c>
      <c r="R359" s="1">
        <v>3803.9</v>
      </c>
      <c r="S359" s="1" t="s">
        <v>66</v>
      </c>
      <c r="T359" s="1" t="s">
        <v>118</v>
      </c>
      <c r="U359" s="1" t="s">
        <v>30</v>
      </c>
      <c r="V359" s="11">
        <v>7</v>
      </c>
      <c r="W359" s="18">
        <v>4</v>
      </c>
    </row>
    <row r="360" spans="1:23" x14ac:dyDescent="0.25">
      <c r="A360" s="2" t="s">
        <v>648</v>
      </c>
      <c r="B360" s="1" t="s">
        <v>649</v>
      </c>
      <c r="C360" s="8">
        <v>45901</v>
      </c>
      <c r="D360" s="1" t="s">
        <v>102</v>
      </c>
      <c r="E360" s="1" t="s">
        <v>103</v>
      </c>
      <c r="F360" s="1" t="s">
        <v>24</v>
      </c>
      <c r="G360" s="1">
        <v>52</v>
      </c>
      <c r="H360" s="1" t="s">
        <v>57</v>
      </c>
      <c r="I360" s="1" t="s">
        <v>36</v>
      </c>
      <c r="J360" s="1" t="s">
        <v>159</v>
      </c>
      <c r="K360" s="14">
        <v>2</v>
      </c>
      <c r="L360" s="1">
        <v>1772</v>
      </c>
      <c r="M360" s="1">
        <v>15</v>
      </c>
      <c r="N360" s="1">
        <f>Table1[[#This Row],[Discount]]/100</f>
        <v>0.15</v>
      </c>
      <c r="O360" s="1">
        <v>531.6</v>
      </c>
      <c r="P360" s="1">
        <v>3012.4</v>
      </c>
      <c r="Q360" s="1">
        <v>97</v>
      </c>
      <c r="R360" s="1">
        <v>3109.4</v>
      </c>
      <c r="S360" s="1" t="s">
        <v>93</v>
      </c>
      <c r="T360" s="1" t="s">
        <v>118</v>
      </c>
      <c r="U360" s="1" t="s">
        <v>30</v>
      </c>
      <c r="V360" s="11">
        <v>6</v>
      </c>
      <c r="W360" s="18">
        <v>3.5</v>
      </c>
    </row>
    <row r="361" spans="1:23" x14ac:dyDescent="0.25">
      <c r="A361" s="2" t="s">
        <v>650</v>
      </c>
      <c r="B361" s="1" t="s">
        <v>651</v>
      </c>
      <c r="C361" s="8">
        <v>45984</v>
      </c>
      <c r="D361" s="1" t="s">
        <v>56</v>
      </c>
      <c r="E361" s="1" t="s">
        <v>56</v>
      </c>
      <c r="F361" s="1" t="s">
        <v>24</v>
      </c>
      <c r="G361" s="1">
        <v>45</v>
      </c>
      <c r="H361" s="1" t="s">
        <v>69</v>
      </c>
      <c r="I361" s="1" t="s">
        <v>58</v>
      </c>
      <c r="J361" s="1" t="s">
        <v>65</v>
      </c>
      <c r="K361" s="14">
        <v>1</v>
      </c>
      <c r="L361" s="1">
        <v>2321</v>
      </c>
      <c r="M361" s="1">
        <v>0</v>
      </c>
      <c r="N361" s="1">
        <f>Table1[[#This Row],[Discount]]/100</f>
        <v>0</v>
      </c>
      <c r="O361" s="1">
        <v>0</v>
      </c>
      <c r="P361" s="1">
        <v>2321</v>
      </c>
      <c r="Q361" s="1">
        <v>156</v>
      </c>
      <c r="R361" s="1">
        <v>2477</v>
      </c>
      <c r="S361" s="1" t="s">
        <v>38</v>
      </c>
      <c r="T361" s="1" t="s">
        <v>118</v>
      </c>
      <c r="U361" s="1" t="s">
        <v>30</v>
      </c>
      <c r="V361" s="11">
        <v>3</v>
      </c>
      <c r="W361" s="18">
        <v>4.5</v>
      </c>
    </row>
    <row r="362" spans="1:23" x14ac:dyDescent="0.25">
      <c r="A362" s="2" t="s">
        <v>652</v>
      </c>
      <c r="B362" s="1" t="s">
        <v>653</v>
      </c>
      <c r="C362" s="8">
        <v>45750</v>
      </c>
      <c r="D362" s="1" t="s">
        <v>110</v>
      </c>
      <c r="E362" s="1" t="s">
        <v>110</v>
      </c>
      <c r="F362" s="1" t="s">
        <v>34</v>
      </c>
      <c r="G362" s="1">
        <v>53</v>
      </c>
      <c r="H362" s="1" t="s">
        <v>50</v>
      </c>
      <c r="I362" s="1" t="s">
        <v>26</v>
      </c>
      <c r="J362" s="1" t="s">
        <v>198</v>
      </c>
      <c r="K362" s="14">
        <v>5</v>
      </c>
      <c r="L362" s="1">
        <v>52069</v>
      </c>
      <c r="M362" s="1">
        <v>20</v>
      </c>
      <c r="N362" s="1">
        <f>Table1[[#This Row],[Discount]]/100</f>
        <v>0.2</v>
      </c>
      <c r="O362" s="1">
        <v>52069</v>
      </c>
      <c r="P362" s="1">
        <v>208276</v>
      </c>
      <c r="Q362" s="1">
        <v>196</v>
      </c>
      <c r="R362" s="1">
        <v>208472</v>
      </c>
      <c r="S362" s="1" t="s">
        <v>28</v>
      </c>
      <c r="T362" s="1" t="s">
        <v>118</v>
      </c>
      <c r="U362" s="1" t="s">
        <v>30</v>
      </c>
      <c r="V362" s="11">
        <v>3</v>
      </c>
      <c r="W362" s="18">
        <v>3</v>
      </c>
    </row>
    <row r="363" spans="1:23" x14ac:dyDescent="0.25">
      <c r="A363" s="2" t="s">
        <v>654</v>
      </c>
      <c r="B363" s="1" t="s">
        <v>209</v>
      </c>
      <c r="C363" s="8">
        <v>45962</v>
      </c>
      <c r="D363" s="1" t="s">
        <v>43</v>
      </c>
      <c r="E363" s="1" t="s">
        <v>43</v>
      </c>
      <c r="F363" s="1" t="s">
        <v>34</v>
      </c>
      <c r="G363" s="1">
        <v>31</v>
      </c>
      <c r="H363" s="1" t="s">
        <v>50</v>
      </c>
      <c r="I363" s="1" t="s">
        <v>58</v>
      </c>
      <c r="J363" s="1" t="s">
        <v>104</v>
      </c>
      <c r="K363" s="14">
        <v>4</v>
      </c>
      <c r="L363" s="1">
        <v>940</v>
      </c>
      <c r="M363" s="1">
        <v>0</v>
      </c>
      <c r="N363" s="1">
        <f>Table1[[#This Row],[Discount]]/100</f>
        <v>0</v>
      </c>
      <c r="O363" s="1">
        <v>0</v>
      </c>
      <c r="P363" s="1">
        <v>3760</v>
      </c>
      <c r="Q363" s="1">
        <v>34</v>
      </c>
      <c r="R363" s="1">
        <v>3794</v>
      </c>
      <c r="S363" s="1" t="s">
        <v>28</v>
      </c>
      <c r="T363" s="1" t="s">
        <v>29</v>
      </c>
      <c r="U363" s="1" t="s">
        <v>30</v>
      </c>
      <c r="V363" s="11">
        <v>6</v>
      </c>
      <c r="W363" s="18">
        <v>4.5</v>
      </c>
    </row>
    <row r="364" spans="1:23" x14ac:dyDescent="0.25">
      <c r="A364" s="2" t="s">
        <v>655</v>
      </c>
      <c r="B364" s="1" t="s">
        <v>195</v>
      </c>
      <c r="C364" s="8">
        <v>45876</v>
      </c>
      <c r="D364" s="1" t="s">
        <v>56</v>
      </c>
      <c r="E364" s="1" t="s">
        <v>56</v>
      </c>
      <c r="F364" s="1" t="s">
        <v>44</v>
      </c>
      <c r="G364" s="1">
        <v>60</v>
      </c>
      <c r="H364" s="1" t="s">
        <v>69</v>
      </c>
      <c r="I364" s="1" t="s">
        <v>45</v>
      </c>
      <c r="J364" s="1" t="s">
        <v>84</v>
      </c>
      <c r="K364" s="14">
        <v>2</v>
      </c>
      <c r="L364" s="1">
        <v>1286</v>
      </c>
      <c r="M364" s="1">
        <v>0</v>
      </c>
      <c r="N364" s="1">
        <f>Table1[[#This Row],[Discount]]/100</f>
        <v>0</v>
      </c>
      <c r="O364" s="1">
        <v>0</v>
      </c>
      <c r="P364" s="1">
        <v>2572</v>
      </c>
      <c r="Q364" s="1">
        <v>90</v>
      </c>
      <c r="R364" s="1">
        <v>2662</v>
      </c>
      <c r="S364" s="1" t="s">
        <v>47</v>
      </c>
      <c r="T364" s="1" t="s">
        <v>39</v>
      </c>
      <c r="U364" s="1" t="s">
        <v>40</v>
      </c>
      <c r="V364" s="11">
        <v>6</v>
      </c>
      <c r="W364" s="18"/>
    </row>
    <row r="365" spans="1:23" x14ac:dyDescent="0.25">
      <c r="A365" s="2" t="s">
        <v>656</v>
      </c>
      <c r="B365" s="1" t="s">
        <v>547</v>
      </c>
      <c r="C365" s="8">
        <v>45970</v>
      </c>
      <c r="D365" s="1" t="s">
        <v>110</v>
      </c>
      <c r="E365" s="1" t="s">
        <v>110</v>
      </c>
      <c r="F365" s="1" t="s">
        <v>34</v>
      </c>
      <c r="G365" s="1">
        <v>29</v>
      </c>
      <c r="H365" s="1" t="s">
        <v>35</v>
      </c>
      <c r="I365" s="1" t="s">
        <v>26</v>
      </c>
      <c r="J365" s="1" t="s">
        <v>283</v>
      </c>
      <c r="K365" s="14">
        <v>4</v>
      </c>
      <c r="L365" s="1">
        <v>44401</v>
      </c>
      <c r="M365" s="1">
        <v>0</v>
      </c>
      <c r="N365" s="1">
        <f>Table1[[#This Row],[Discount]]/100</f>
        <v>0</v>
      </c>
      <c r="O365" s="1">
        <v>0</v>
      </c>
      <c r="P365" s="1">
        <v>177604</v>
      </c>
      <c r="Q365" s="1">
        <v>71</v>
      </c>
      <c r="R365" s="1">
        <v>177675</v>
      </c>
      <c r="S365" s="1" t="s">
        <v>52</v>
      </c>
      <c r="T365" s="1" t="s">
        <v>118</v>
      </c>
      <c r="U365" s="1" t="s">
        <v>30</v>
      </c>
      <c r="V365" s="11">
        <v>4</v>
      </c>
      <c r="W365" s="18">
        <v>5</v>
      </c>
    </row>
    <row r="366" spans="1:23" x14ac:dyDescent="0.25">
      <c r="A366" s="2" t="s">
        <v>657</v>
      </c>
      <c r="B366" s="1" t="s">
        <v>209</v>
      </c>
      <c r="C366" s="8">
        <v>45667</v>
      </c>
      <c r="D366" s="1" t="s">
        <v>33</v>
      </c>
      <c r="E366" s="1" t="s">
        <v>33</v>
      </c>
      <c r="F366" s="1" t="s">
        <v>34</v>
      </c>
      <c r="G366" s="1">
        <v>27</v>
      </c>
      <c r="H366" s="1" t="s">
        <v>50</v>
      </c>
      <c r="I366" s="1" t="s">
        <v>58</v>
      </c>
      <c r="J366" s="1" t="s">
        <v>104</v>
      </c>
      <c r="K366" s="14">
        <v>4</v>
      </c>
      <c r="L366" s="1">
        <v>438</v>
      </c>
      <c r="M366" s="1">
        <v>25</v>
      </c>
      <c r="N366" s="1">
        <f>Table1[[#This Row],[Discount]]/100</f>
        <v>0.25</v>
      </c>
      <c r="O366" s="1">
        <v>438</v>
      </c>
      <c r="P366" s="1">
        <v>1314</v>
      </c>
      <c r="Q366" s="1">
        <v>134</v>
      </c>
      <c r="R366" s="1">
        <v>1448</v>
      </c>
      <c r="S366" s="1" t="s">
        <v>66</v>
      </c>
      <c r="T366" s="1" t="s">
        <v>118</v>
      </c>
      <c r="U366" s="1" t="s">
        <v>30</v>
      </c>
      <c r="V366" s="11">
        <v>4</v>
      </c>
      <c r="W366" s="18">
        <v>5</v>
      </c>
    </row>
    <row r="367" spans="1:23" x14ac:dyDescent="0.25">
      <c r="A367" s="2" t="s">
        <v>658</v>
      </c>
      <c r="B367" s="1" t="s">
        <v>659</v>
      </c>
      <c r="C367" s="8">
        <v>45693</v>
      </c>
      <c r="D367" s="1" t="s">
        <v>110</v>
      </c>
      <c r="E367" s="1" t="s">
        <v>110</v>
      </c>
      <c r="F367" s="1" t="s">
        <v>44</v>
      </c>
      <c r="G367" s="1">
        <v>32</v>
      </c>
      <c r="H367" s="1" t="s">
        <v>57</v>
      </c>
      <c r="I367" s="1" t="s">
        <v>74</v>
      </c>
      <c r="J367" s="1" t="s">
        <v>97</v>
      </c>
      <c r="K367" s="14">
        <v>4</v>
      </c>
      <c r="L367" s="1">
        <v>4622</v>
      </c>
      <c r="M367" s="1">
        <v>25</v>
      </c>
      <c r="N367" s="1">
        <f>Table1[[#This Row],[Discount]]/100</f>
        <v>0.25</v>
      </c>
      <c r="O367" s="1">
        <v>4622</v>
      </c>
      <c r="P367" s="1">
        <v>13866</v>
      </c>
      <c r="Q367" s="1">
        <v>221</v>
      </c>
      <c r="R367" s="1">
        <v>14087</v>
      </c>
      <c r="S367" s="1" t="s">
        <v>28</v>
      </c>
      <c r="T367" s="1" t="s">
        <v>29</v>
      </c>
      <c r="U367" s="1" t="s">
        <v>53</v>
      </c>
      <c r="W367" s="18"/>
    </row>
    <row r="368" spans="1:23" x14ac:dyDescent="0.25">
      <c r="A368" s="2" t="s">
        <v>660</v>
      </c>
      <c r="B368" s="1" t="s">
        <v>361</v>
      </c>
      <c r="C368" s="8">
        <v>45806</v>
      </c>
      <c r="D368" s="1" t="s">
        <v>120</v>
      </c>
      <c r="E368" s="1" t="s">
        <v>120</v>
      </c>
      <c r="F368" s="1" t="s">
        <v>34</v>
      </c>
      <c r="G368" s="1">
        <v>30</v>
      </c>
      <c r="H368" s="1" t="s">
        <v>57</v>
      </c>
      <c r="I368" s="1" t="s">
        <v>88</v>
      </c>
      <c r="J368" s="1" t="s">
        <v>207</v>
      </c>
      <c r="K368" s="14">
        <v>3</v>
      </c>
      <c r="L368" s="1">
        <v>1785</v>
      </c>
      <c r="M368" s="1">
        <v>10</v>
      </c>
      <c r="N368" s="1">
        <f>Table1[[#This Row],[Discount]]/100</f>
        <v>0.1</v>
      </c>
      <c r="O368" s="1">
        <v>535.5</v>
      </c>
      <c r="P368" s="1">
        <v>4819.5</v>
      </c>
      <c r="Q368" s="1">
        <v>137</v>
      </c>
      <c r="R368" s="1">
        <v>4956.5</v>
      </c>
      <c r="S368" s="1" t="s">
        <v>66</v>
      </c>
      <c r="T368" s="1" t="s">
        <v>39</v>
      </c>
      <c r="U368" s="1" t="s">
        <v>30</v>
      </c>
      <c r="V368" s="11">
        <v>6</v>
      </c>
      <c r="W368" s="18">
        <v>3.5</v>
      </c>
    </row>
    <row r="369" spans="1:23" x14ac:dyDescent="0.25">
      <c r="A369" s="2" t="s">
        <v>661</v>
      </c>
      <c r="B369" s="1" t="s">
        <v>423</v>
      </c>
      <c r="C369" s="8">
        <v>45961</v>
      </c>
      <c r="D369" s="1" t="s">
        <v>110</v>
      </c>
      <c r="E369" s="1" t="s">
        <v>110</v>
      </c>
      <c r="F369" s="1" t="s">
        <v>24</v>
      </c>
      <c r="G369" s="1">
        <v>49</v>
      </c>
      <c r="H369" s="1" t="s">
        <v>69</v>
      </c>
      <c r="I369" s="1" t="s">
        <v>36</v>
      </c>
      <c r="J369" s="1" t="s">
        <v>92</v>
      </c>
      <c r="K369" s="14">
        <v>1</v>
      </c>
      <c r="L369" s="1">
        <v>1952</v>
      </c>
      <c r="M369" s="1">
        <v>5</v>
      </c>
      <c r="N369" s="1">
        <f>Table1[[#This Row],[Discount]]/100</f>
        <v>0.05</v>
      </c>
      <c r="O369" s="1">
        <v>97.6</v>
      </c>
      <c r="P369" s="1">
        <v>1854.4</v>
      </c>
      <c r="Q369" s="1">
        <v>26</v>
      </c>
      <c r="R369" s="1">
        <v>1880.4</v>
      </c>
      <c r="S369" s="1" t="s">
        <v>93</v>
      </c>
      <c r="T369" s="1" t="s">
        <v>29</v>
      </c>
      <c r="U369" s="1" t="s">
        <v>30</v>
      </c>
      <c r="V369" s="11">
        <v>2</v>
      </c>
      <c r="W369" s="18">
        <v>4</v>
      </c>
    </row>
    <row r="370" spans="1:23" x14ac:dyDescent="0.25">
      <c r="A370" s="2" t="s">
        <v>662</v>
      </c>
      <c r="B370" s="1" t="s">
        <v>254</v>
      </c>
      <c r="C370" s="8">
        <v>45925</v>
      </c>
      <c r="D370" s="1" t="s">
        <v>87</v>
      </c>
      <c r="E370" s="1" t="s">
        <v>87</v>
      </c>
      <c r="F370" s="1" t="s">
        <v>24</v>
      </c>
      <c r="G370" s="1">
        <v>52</v>
      </c>
      <c r="H370" s="1" t="s">
        <v>25</v>
      </c>
      <c r="I370" s="1" t="s">
        <v>45</v>
      </c>
      <c r="J370" s="1" t="s">
        <v>46</v>
      </c>
      <c r="K370" s="14">
        <v>1</v>
      </c>
      <c r="L370" s="1">
        <v>255</v>
      </c>
      <c r="M370" s="1">
        <v>5</v>
      </c>
      <c r="N370" s="1">
        <f>Table1[[#This Row],[Discount]]/100</f>
        <v>0.05</v>
      </c>
      <c r="O370" s="1">
        <v>12.75</v>
      </c>
      <c r="P370" s="1">
        <v>242.25</v>
      </c>
      <c r="Q370" s="1">
        <v>190</v>
      </c>
      <c r="R370" s="1">
        <v>432.25</v>
      </c>
      <c r="S370" s="1" t="s">
        <v>47</v>
      </c>
      <c r="T370" s="1" t="s">
        <v>39</v>
      </c>
      <c r="U370" s="1" t="s">
        <v>53</v>
      </c>
      <c r="W370" s="18"/>
    </row>
    <row r="371" spans="1:23" x14ac:dyDescent="0.25">
      <c r="A371" s="2" t="s">
        <v>663</v>
      </c>
      <c r="B371" s="1" t="s">
        <v>315</v>
      </c>
      <c r="C371" s="8">
        <v>45683</v>
      </c>
      <c r="D371" s="1" t="s">
        <v>153</v>
      </c>
      <c r="E371" s="1" t="s">
        <v>153</v>
      </c>
      <c r="F371" s="1" t="s">
        <v>34</v>
      </c>
      <c r="G371" s="1">
        <v>24</v>
      </c>
      <c r="H371" s="1" t="s">
        <v>25</v>
      </c>
      <c r="I371" s="1" t="s">
        <v>36</v>
      </c>
      <c r="J371" s="1" t="s">
        <v>159</v>
      </c>
      <c r="K371" s="14">
        <v>4</v>
      </c>
      <c r="L371" s="1">
        <v>5714</v>
      </c>
      <c r="M371" s="1">
        <v>5</v>
      </c>
      <c r="N371" s="1">
        <f>Table1[[#This Row],[Discount]]/100</f>
        <v>0.05</v>
      </c>
      <c r="O371" s="1">
        <v>1142.8</v>
      </c>
      <c r="P371" s="1">
        <v>21713.200000000001</v>
      </c>
      <c r="Q371" s="1">
        <v>181</v>
      </c>
      <c r="R371" s="1">
        <v>21894.2</v>
      </c>
      <c r="S371" s="1" t="s">
        <v>28</v>
      </c>
      <c r="T371" s="1" t="s">
        <v>39</v>
      </c>
      <c r="U371" s="1" t="s">
        <v>30</v>
      </c>
      <c r="V371" s="11">
        <v>3</v>
      </c>
      <c r="W371" s="18">
        <v>4</v>
      </c>
    </row>
    <row r="372" spans="1:23" x14ac:dyDescent="0.25">
      <c r="A372" s="2" t="s">
        <v>664</v>
      </c>
      <c r="B372" s="1" t="s">
        <v>321</v>
      </c>
      <c r="C372" s="8">
        <v>45719</v>
      </c>
      <c r="D372" s="1" t="s">
        <v>43</v>
      </c>
      <c r="E372" s="1" t="s">
        <v>43</v>
      </c>
      <c r="F372" s="1" t="s">
        <v>34</v>
      </c>
      <c r="G372" s="1">
        <v>54</v>
      </c>
      <c r="H372" s="1" t="s">
        <v>69</v>
      </c>
      <c r="I372" s="1" t="s">
        <v>45</v>
      </c>
      <c r="J372" s="1" t="s">
        <v>84</v>
      </c>
      <c r="K372" s="14">
        <v>5</v>
      </c>
      <c r="L372" s="1">
        <v>1825</v>
      </c>
      <c r="M372" s="1">
        <v>25</v>
      </c>
      <c r="N372" s="1">
        <f>Table1[[#This Row],[Discount]]/100</f>
        <v>0.25</v>
      </c>
      <c r="O372" s="1">
        <v>2281.25</v>
      </c>
      <c r="P372" s="1">
        <v>6843.75</v>
      </c>
      <c r="Q372" s="1">
        <v>103</v>
      </c>
      <c r="R372" s="1">
        <v>6946.75</v>
      </c>
      <c r="S372" s="1" t="s">
        <v>47</v>
      </c>
      <c r="T372" s="1" t="s">
        <v>39</v>
      </c>
      <c r="U372" s="1" t="s">
        <v>40</v>
      </c>
      <c r="V372" s="11">
        <v>6</v>
      </c>
      <c r="W372" s="18"/>
    </row>
    <row r="373" spans="1:23" x14ac:dyDescent="0.25">
      <c r="A373" s="2" t="s">
        <v>665</v>
      </c>
      <c r="B373" s="1" t="s">
        <v>200</v>
      </c>
      <c r="C373" s="8">
        <v>45782</v>
      </c>
      <c r="D373" s="1" t="s">
        <v>73</v>
      </c>
      <c r="E373" s="1" t="s">
        <v>73</v>
      </c>
      <c r="F373" s="1" t="s">
        <v>24</v>
      </c>
      <c r="G373" s="1">
        <v>20</v>
      </c>
      <c r="H373" s="1" t="s">
        <v>25</v>
      </c>
      <c r="I373" s="1" t="s">
        <v>74</v>
      </c>
      <c r="J373" s="1" t="s">
        <v>97</v>
      </c>
      <c r="K373" s="14">
        <v>1</v>
      </c>
      <c r="L373" s="1">
        <v>2643</v>
      </c>
      <c r="M373" s="1">
        <v>10</v>
      </c>
      <c r="N373" s="1">
        <f>Table1[[#This Row],[Discount]]/100</f>
        <v>0.1</v>
      </c>
      <c r="O373" s="1">
        <v>264.3</v>
      </c>
      <c r="P373" s="1">
        <v>2378.6999999999998</v>
      </c>
      <c r="Q373" s="1">
        <v>132</v>
      </c>
      <c r="R373" s="1">
        <v>2510.6999999999998</v>
      </c>
      <c r="S373" s="1" t="s">
        <v>93</v>
      </c>
      <c r="T373" s="1" t="s">
        <v>39</v>
      </c>
      <c r="U373" s="1" t="s">
        <v>30</v>
      </c>
      <c r="V373" s="11">
        <v>5</v>
      </c>
      <c r="W373" s="18">
        <v>3.5</v>
      </c>
    </row>
    <row r="374" spans="1:23" x14ac:dyDescent="0.25">
      <c r="A374" s="2" t="s">
        <v>666</v>
      </c>
      <c r="B374" s="1" t="s">
        <v>449</v>
      </c>
      <c r="C374" s="8">
        <v>45731</v>
      </c>
      <c r="D374" s="1" t="s">
        <v>153</v>
      </c>
      <c r="E374" s="1" t="s">
        <v>153</v>
      </c>
      <c r="F374" s="1" t="s">
        <v>44</v>
      </c>
      <c r="G374" s="1">
        <v>35</v>
      </c>
      <c r="H374" s="1" t="s">
        <v>57</v>
      </c>
      <c r="I374" s="1" t="s">
        <v>45</v>
      </c>
      <c r="J374" s="1" t="s">
        <v>46</v>
      </c>
      <c r="K374" s="14">
        <v>1</v>
      </c>
      <c r="L374" s="1">
        <v>1242</v>
      </c>
      <c r="M374" s="1">
        <v>15</v>
      </c>
      <c r="N374" s="1">
        <f>Table1[[#This Row],[Discount]]/100</f>
        <v>0.15</v>
      </c>
      <c r="O374" s="1">
        <v>186.3</v>
      </c>
      <c r="P374" s="1">
        <v>1055.7</v>
      </c>
      <c r="Q374" s="1">
        <v>72</v>
      </c>
      <c r="R374" s="1">
        <v>1127.7</v>
      </c>
      <c r="S374" s="1" t="s">
        <v>47</v>
      </c>
      <c r="T374" s="1" t="s">
        <v>39</v>
      </c>
      <c r="U374" s="1" t="s">
        <v>40</v>
      </c>
      <c r="V374" s="11">
        <v>6</v>
      </c>
      <c r="W374" s="18"/>
    </row>
    <row r="375" spans="1:23" x14ac:dyDescent="0.25">
      <c r="A375" s="2" t="s">
        <v>667</v>
      </c>
      <c r="B375" s="1" t="s">
        <v>668</v>
      </c>
      <c r="C375" s="8">
        <v>45718</v>
      </c>
      <c r="D375" s="1" t="s">
        <v>73</v>
      </c>
      <c r="E375" s="1" t="s">
        <v>73</v>
      </c>
      <c r="F375" s="1" t="s">
        <v>24</v>
      </c>
      <c r="G375" s="1">
        <v>24</v>
      </c>
      <c r="H375" s="1" t="s">
        <v>25</v>
      </c>
      <c r="I375" s="1" t="s">
        <v>36</v>
      </c>
      <c r="J375" s="1" t="s">
        <v>177</v>
      </c>
      <c r="K375" s="14">
        <v>5</v>
      </c>
      <c r="L375" s="1">
        <v>3830</v>
      </c>
      <c r="M375" s="1">
        <v>0</v>
      </c>
      <c r="N375" s="1">
        <f>Table1[[#This Row],[Discount]]/100</f>
        <v>0</v>
      </c>
      <c r="O375" s="1">
        <v>0</v>
      </c>
      <c r="P375" s="1">
        <v>19150</v>
      </c>
      <c r="Q375" s="1">
        <v>69</v>
      </c>
      <c r="R375" s="1">
        <v>19219</v>
      </c>
      <c r="S375" s="1" t="s">
        <v>47</v>
      </c>
      <c r="T375" s="1" t="s">
        <v>118</v>
      </c>
      <c r="U375" s="1" t="s">
        <v>30</v>
      </c>
      <c r="V375" s="11">
        <v>5</v>
      </c>
      <c r="W375" s="18">
        <v>4.5</v>
      </c>
    </row>
    <row r="376" spans="1:23" x14ac:dyDescent="0.25">
      <c r="A376" s="2" t="s">
        <v>669</v>
      </c>
      <c r="B376" s="1" t="s">
        <v>264</v>
      </c>
      <c r="C376" s="8">
        <v>46001</v>
      </c>
      <c r="D376" s="1" t="s">
        <v>140</v>
      </c>
      <c r="E376" s="1" t="s">
        <v>141</v>
      </c>
      <c r="F376" s="1" t="s">
        <v>44</v>
      </c>
      <c r="G376" s="1">
        <v>21</v>
      </c>
      <c r="H376" s="1" t="s">
        <v>35</v>
      </c>
      <c r="I376" s="1" t="s">
        <v>36</v>
      </c>
      <c r="J376" s="1" t="s">
        <v>159</v>
      </c>
      <c r="K376" s="14">
        <v>3</v>
      </c>
      <c r="L376" s="1">
        <v>7312</v>
      </c>
      <c r="M376" s="1">
        <v>15</v>
      </c>
      <c r="N376" s="1">
        <f>Table1[[#This Row],[Discount]]/100</f>
        <v>0.15</v>
      </c>
      <c r="O376" s="1">
        <v>3290.4</v>
      </c>
      <c r="P376" s="1">
        <v>18645.599999999999</v>
      </c>
      <c r="Q376" s="1">
        <v>60</v>
      </c>
      <c r="R376" s="1">
        <v>18705.599999999999</v>
      </c>
      <c r="S376" s="1" t="s">
        <v>93</v>
      </c>
      <c r="T376" s="1" t="s">
        <v>118</v>
      </c>
      <c r="U376" s="1" t="s">
        <v>30</v>
      </c>
      <c r="V376" s="11">
        <v>1</v>
      </c>
      <c r="W376" s="18">
        <v>5</v>
      </c>
    </row>
    <row r="377" spans="1:23" x14ac:dyDescent="0.25">
      <c r="A377" s="2" t="s">
        <v>670</v>
      </c>
      <c r="B377" s="1" t="s">
        <v>671</v>
      </c>
      <c r="C377" s="8">
        <v>45694</v>
      </c>
      <c r="D377" s="1" t="s">
        <v>83</v>
      </c>
      <c r="E377" s="1" t="s">
        <v>83</v>
      </c>
      <c r="F377" s="1" t="s">
        <v>44</v>
      </c>
      <c r="G377" s="1">
        <v>46</v>
      </c>
      <c r="H377" s="1" t="s">
        <v>57</v>
      </c>
      <c r="I377" s="1" t="s">
        <v>58</v>
      </c>
      <c r="J377" s="1" t="s">
        <v>65</v>
      </c>
      <c r="K377" s="14">
        <v>1</v>
      </c>
      <c r="L377" s="1">
        <v>797</v>
      </c>
      <c r="M377" s="1">
        <v>0</v>
      </c>
      <c r="N377" s="1">
        <f>Table1[[#This Row],[Discount]]/100</f>
        <v>0</v>
      </c>
      <c r="O377" s="1">
        <v>0</v>
      </c>
      <c r="P377" s="1">
        <v>797</v>
      </c>
      <c r="Q377" s="1">
        <v>49</v>
      </c>
      <c r="R377" s="1">
        <v>846</v>
      </c>
      <c r="S377" s="1" t="s">
        <v>47</v>
      </c>
      <c r="T377" s="1" t="s">
        <v>29</v>
      </c>
      <c r="U377" s="1" t="s">
        <v>30</v>
      </c>
      <c r="V377" s="11">
        <v>2</v>
      </c>
      <c r="W377" s="18">
        <v>4.5</v>
      </c>
    </row>
    <row r="378" spans="1:23" x14ac:dyDescent="0.25">
      <c r="A378" s="2" t="s">
        <v>672</v>
      </c>
      <c r="B378" s="1" t="s">
        <v>235</v>
      </c>
      <c r="C378" s="8">
        <v>45695</v>
      </c>
      <c r="D378" s="1" t="s">
        <v>23</v>
      </c>
      <c r="E378" s="1" t="s">
        <v>23</v>
      </c>
      <c r="F378" s="1" t="s">
        <v>44</v>
      </c>
      <c r="G378" s="1">
        <v>55</v>
      </c>
      <c r="H378" s="1" t="s">
        <v>35</v>
      </c>
      <c r="I378" s="1" t="s">
        <v>88</v>
      </c>
      <c r="J378" s="1" t="s">
        <v>213</v>
      </c>
      <c r="K378" s="14">
        <v>1</v>
      </c>
      <c r="L378" s="1">
        <v>1906</v>
      </c>
      <c r="M378" s="1">
        <v>5</v>
      </c>
      <c r="N378" s="1">
        <f>Table1[[#This Row],[Discount]]/100</f>
        <v>0.05</v>
      </c>
      <c r="O378" s="1">
        <v>95.3</v>
      </c>
      <c r="P378" s="1">
        <v>1810.7</v>
      </c>
      <c r="Q378" s="1">
        <v>76</v>
      </c>
      <c r="R378" s="1">
        <v>1886.7</v>
      </c>
      <c r="S378" s="1" t="s">
        <v>47</v>
      </c>
      <c r="T378" s="1" t="s">
        <v>29</v>
      </c>
      <c r="U378" s="1" t="s">
        <v>30</v>
      </c>
      <c r="V378" s="11">
        <v>4</v>
      </c>
      <c r="W378" s="18">
        <v>4</v>
      </c>
    </row>
    <row r="379" spans="1:23" x14ac:dyDescent="0.25">
      <c r="A379" s="2" t="s">
        <v>673</v>
      </c>
      <c r="B379" s="1" t="s">
        <v>242</v>
      </c>
      <c r="C379" s="8">
        <v>45949</v>
      </c>
      <c r="D379" s="1" t="s">
        <v>78</v>
      </c>
      <c r="E379" s="1" t="s">
        <v>78</v>
      </c>
      <c r="F379" s="1" t="s">
        <v>44</v>
      </c>
      <c r="G379" s="1">
        <v>35</v>
      </c>
      <c r="H379" s="1" t="s">
        <v>57</v>
      </c>
      <c r="I379" s="1" t="s">
        <v>74</v>
      </c>
      <c r="J379" s="1" t="s">
        <v>172</v>
      </c>
      <c r="K379" s="14">
        <v>3</v>
      </c>
      <c r="L379" s="1">
        <v>4149</v>
      </c>
      <c r="M379" s="1">
        <v>10</v>
      </c>
      <c r="N379" s="1">
        <f>Table1[[#This Row],[Discount]]/100</f>
        <v>0.1</v>
      </c>
      <c r="O379" s="1">
        <v>1244.7</v>
      </c>
      <c r="P379" s="1">
        <v>11202.3</v>
      </c>
      <c r="Q379" s="1">
        <v>197</v>
      </c>
      <c r="R379" s="1">
        <v>11399.3</v>
      </c>
      <c r="S379" s="1" t="s">
        <v>93</v>
      </c>
      <c r="T379" s="1" t="s">
        <v>39</v>
      </c>
      <c r="U379" s="1" t="s">
        <v>30</v>
      </c>
      <c r="V379" s="11">
        <v>1</v>
      </c>
      <c r="W379" s="18">
        <v>3.5</v>
      </c>
    </row>
    <row r="380" spans="1:23" x14ac:dyDescent="0.25">
      <c r="A380" s="2" t="s">
        <v>674</v>
      </c>
      <c r="B380" s="1" t="s">
        <v>152</v>
      </c>
      <c r="C380" s="8">
        <v>45925</v>
      </c>
      <c r="D380" s="1" t="s">
        <v>140</v>
      </c>
      <c r="E380" s="1" t="s">
        <v>141</v>
      </c>
      <c r="F380" s="1" t="s">
        <v>44</v>
      </c>
      <c r="G380" s="1">
        <v>31</v>
      </c>
      <c r="H380" s="1" t="s">
        <v>69</v>
      </c>
      <c r="I380" s="1" t="s">
        <v>88</v>
      </c>
      <c r="J380" s="1" t="s">
        <v>213</v>
      </c>
      <c r="K380" s="14">
        <v>3</v>
      </c>
      <c r="L380" s="1">
        <v>3084</v>
      </c>
      <c r="M380" s="1">
        <v>5</v>
      </c>
      <c r="N380" s="1">
        <f>Table1[[#This Row],[Discount]]/100</f>
        <v>0.05</v>
      </c>
      <c r="O380" s="1">
        <v>462.6</v>
      </c>
      <c r="P380" s="1">
        <v>8789.4</v>
      </c>
      <c r="Q380" s="1">
        <v>239</v>
      </c>
      <c r="R380" s="1">
        <v>9028.4</v>
      </c>
      <c r="S380" s="1" t="s">
        <v>28</v>
      </c>
      <c r="T380" s="1" t="s">
        <v>29</v>
      </c>
      <c r="U380" s="1" t="s">
        <v>30</v>
      </c>
      <c r="V380" s="11">
        <v>4</v>
      </c>
      <c r="W380" s="18">
        <v>4.5</v>
      </c>
    </row>
    <row r="381" spans="1:23" x14ac:dyDescent="0.25">
      <c r="A381" s="2" t="s">
        <v>675</v>
      </c>
      <c r="B381" s="1" t="s">
        <v>295</v>
      </c>
      <c r="C381" s="8">
        <v>45660</v>
      </c>
      <c r="D381" s="1" t="s">
        <v>96</v>
      </c>
      <c r="E381" s="1" t="s">
        <v>96</v>
      </c>
      <c r="F381" s="1" t="s">
        <v>44</v>
      </c>
      <c r="G381" s="1">
        <v>20</v>
      </c>
      <c r="H381" s="1" t="s">
        <v>25</v>
      </c>
      <c r="I381" s="1" t="s">
        <v>36</v>
      </c>
      <c r="J381" s="1" t="s">
        <v>159</v>
      </c>
      <c r="K381" s="14">
        <v>2</v>
      </c>
      <c r="L381" s="1">
        <v>7997</v>
      </c>
      <c r="M381" s="1">
        <v>20</v>
      </c>
      <c r="N381" s="1">
        <f>Table1[[#This Row],[Discount]]/100</f>
        <v>0.2</v>
      </c>
      <c r="O381" s="1">
        <v>3198.8</v>
      </c>
      <c r="P381" s="1">
        <v>12795.2</v>
      </c>
      <c r="Q381" s="1">
        <v>166</v>
      </c>
      <c r="R381" s="1">
        <v>12961.2</v>
      </c>
      <c r="S381" s="1" t="s">
        <v>28</v>
      </c>
      <c r="T381" s="1" t="s">
        <v>118</v>
      </c>
      <c r="U381" s="1" t="s">
        <v>70</v>
      </c>
      <c r="W381" s="18"/>
    </row>
    <row r="382" spans="1:23" x14ac:dyDescent="0.25">
      <c r="A382" s="2" t="s">
        <v>676</v>
      </c>
      <c r="B382" s="1" t="s">
        <v>466</v>
      </c>
      <c r="C382" s="8">
        <v>45769</v>
      </c>
      <c r="D382" s="1" t="s">
        <v>120</v>
      </c>
      <c r="E382" s="1" t="s">
        <v>120</v>
      </c>
      <c r="F382" s="1" t="s">
        <v>34</v>
      </c>
      <c r="G382" s="1">
        <v>40</v>
      </c>
      <c r="H382" s="1" t="s">
        <v>50</v>
      </c>
      <c r="I382" s="1" t="s">
        <v>45</v>
      </c>
      <c r="J382" s="1" t="s">
        <v>146</v>
      </c>
      <c r="K382" s="14">
        <v>1</v>
      </c>
      <c r="L382" s="1">
        <v>420</v>
      </c>
      <c r="M382" s="1">
        <v>0</v>
      </c>
      <c r="N382" s="1">
        <f>Table1[[#This Row],[Discount]]/100</f>
        <v>0</v>
      </c>
      <c r="O382" s="1">
        <v>0</v>
      </c>
      <c r="P382" s="1">
        <v>420</v>
      </c>
      <c r="Q382" s="1">
        <v>124</v>
      </c>
      <c r="R382" s="1">
        <v>544</v>
      </c>
      <c r="S382" s="1" t="s">
        <v>28</v>
      </c>
      <c r="T382" s="1" t="s">
        <v>118</v>
      </c>
      <c r="U382" s="1" t="s">
        <v>40</v>
      </c>
      <c r="V382" s="11">
        <v>2</v>
      </c>
      <c r="W382" s="18"/>
    </row>
    <row r="383" spans="1:23" x14ac:dyDescent="0.25">
      <c r="A383" s="2" t="s">
        <v>677</v>
      </c>
      <c r="B383" s="1" t="s">
        <v>250</v>
      </c>
      <c r="C383" s="8">
        <v>45847</v>
      </c>
      <c r="D383" s="1" t="s">
        <v>23</v>
      </c>
      <c r="E383" s="1" t="s">
        <v>23</v>
      </c>
      <c r="F383" s="1" t="s">
        <v>34</v>
      </c>
      <c r="G383" s="1">
        <v>47</v>
      </c>
      <c r="H383" s="1" t="s">
        <v>50</v>
      </c>
      <c r="I383" s="1" t="s">
        <v>88</v>
      </c>
      <c r="J383" s="1" t="s">
        <v>213</v>
      </c>
      <c r="K383" s="14">
        <v>4</v>
      </c>
      <c r="L383" s="1">
        <v>7898</v>
      </c>
      <c r="M383" s="1">
        <v>15</v>
      </c>
      <c r="N383" s="1">
        <f>Table1[[#This Row],[Discount]]/100</f>
        <v>0.15</v>
      </c>
      <c r="O383" s="1">
        <v>4738.8</v>
      </c>
      <c r="P383" s="1">
        <v>26853.200000000001</v>
      </c>
      <c r="Q383" s="1">
        <v>243</v>
      </c>
      <c r="R383" s="1">
        <v>27096.2</v>
      </c>
      <c r="S383" s="1" t="s">
        <v>93</v>
      </c>
      <c r="T383" s="1" t="s">
        <v>29</v>
      </c>
      <c r="U383" s="1" t="s">
        <v>30</v>
      </c>
      <c r="V383" s="11">
        <v>6</v>
      </c>
      <c r="W383" s="18">
        <v>5</v>
      </c>
    </row>
    <row r="384" spans="1:23" x14ac:dyDescent="0.25">
      <c r="A384" s="2" t="s">
        <v>678</v>
      </c>
      <c r="B384" s="1" t="s">
        <v>401</v>
      </c>
      <c r="C384" s="8">
        <v>45829</v>
      </c>
      <c r="D384" s="1" t="s">
        <v>83</v>
      </c>
      <c r="E384" s="1" t="s">
        <v>83</v>
      </c>
      <c r="F384" s="1" t="s">
        <v>24</v>
      </c>
      <c r="G384" s="1">
        <v>21</v>
      </c>
      <c r="H384" s="1" t="s">
        <v>69</v>
      </c>
      <c r="I384" s="1" t="s">
        <v>58</v>
      </c>
      <c r="J384" s="1" t="s">
        <v>104</v>
      </c>
      <c r="K384" s="14">
        <v>3</v>
      </c>
      <c r="L384" s="1">
        <v>3404</v>
      </c>
      <c r="M384" s="1">
        <v>25</v>
      </c>
      <c r="N384" s="1">
        <f>Table1[[#This Row],[Discount]]/100</f>
        <v>0.25</v>
      </c>
      <c r="O384" s="1">
        <v>2553</v>
      </c>
      <c r="P384" s="1">
        <v>7659</v>
      </c>
      <c r="Q384" s="1">
        <v>245</v>
      </c>
      <c r="R384" s="1">
        <v>7904</v>
      </c>
      <c r="S384" s="1" t="s">
        <v>28</v>
      </c>
      <c r="T384" s="1" t="s">
        <v>39</v>
      </c>
      <c r="U384" s="1" t="s">
        <v>30</v>
      </c>
      <c r="V384" s="11">
        <v>6</v>
      </c>
      <c r="W384" s="18">
        <v>4.5</v>
      </c>
    </row>
    <row r="385" spans="1:23" x14ac:dyDescent="0.25">
      <c r="A385" s="2" t="s">
        <v>679</v>
      </c>
      <c r="B385" s="1" t="s">
        <v>627</v>
      </c>
      <c r="C385" s="8">
        <v>45762</v>
      </c>
      <c r="D385" s="1" t="s">
        <v>96</v>
      </c>
      <c r="E385" s="1" t="s">
        <v>96</v>
      </c>
      <c r="F385" s="1" t="s">
        <v>34</v>
      </c>
      <c r="G385" s="1">
        <v>39</v>
      </c>
      <c r="H385" s="1" t="s">
        <v>57</v>
      </c>
      <c r="I385" s="1" t="s">
        <v>88</v>
      </c>
      <c r="J385" s="1" t="s">
        <v>162</v>
      </c>
      <c r="K385" s="14">
        <v>5</v>
      </c>
      <c r="L385" s="1">
        <v>6303</v>
      </c>
      <c r="M385" s="1">
        <v>25</v>
      </c>
      <c r="N385" s="1">
        <f>Table1[[#This Row],[Discount]]/100</f>
        <v>0.25</v>
      </c>
      <c r="O385" s="1">
        <v>7878.75</v>
      </c>
      <c r="P385" s="1">
        <v>23636.25</v>
      </c>
      <c r="Q385" s="1">
        <v>201</v>
      </c>
      <c r="R385" s="1">
        <v>23837.25</v>
      </c>
      <c r="S385" s="1" t="s">
        <v>66</v>
      </c>
      <c r="T385" s="1" t="s">
        <v>29</v>
      </c>
      <c r="U385" s="1" t="s">
        <v>30</v>
      </c>
      <c r="V385" s="11">
        <v>2</v>
      </c>
      <c r="W385" s="18">
        <v>3.5</v>
      </c>
    </row>
    <row r="386" spans="1:23" x14ac:dyDescent="0.25">
      <c r="A386" s="2" t="s">
        <v>680</v>
      </c>
      <c r="B386" s="1" t="s">
        <v>681</v>
      </c>
      <c r="C386" s="8">
        <v>45834</v>
      </c>
      <c r="D386" s="1" t="s">
        <v>87</v>
      </c>
      <c r="E386" s="1" t="s">
        <v>87</v>
      </c>
      <c r="F386" s="1" t="s">
        <v>34</v>
      </c>
      <c r="G386" s="1">
        <v>49</v>
      </c>
      <c r="H386" s="1" t="s">
        <v>57</v>
      </c>
      <c r="I386" s="1" t="s">
        <v>36</v>
      </c>
      <c r="J386" s="1" t="s">
        <v>159</v>
      </c>
      <c r="K386" s="14">
        <v>2</v>
      </c>
      <c r="L386" s="1">
        <v>3864</v>
      </c>
      <c r="M386" s="1">
        <v>10</v>
      </c>
      <c r="N386" s="1">
        <f>Table1[[#This Row],[Discount]]/100</f>
        <v>0.1</v>
      </c>
      <c r="O386" s="1">
        <v>772.8</v>
      </c>
      <c r="P386" s="1">
        <v>6955.2</v>
      </c>
      <c r="Q386" s="1">
        <v>115</v>
      </c>
      <c r="R386" s="1">
        <v>7070.2</v>
      </c>
      <c r="S386" s="1" t="s">
        <v>66</v>
      </c>
      <c r="T386" s="1" t="s">
        <v>29</v>
      </c>
      <c r="U386" s="1" t="s">
        <v>30</v>
      </c>
      <c r="V386" s="11">
        <v>4</v>
      </c>
      <c r="W386" s="18">
        <v>4.5</v>
      </c>
    </row>
    <row r="387" spans="1:23" x14ac:dyDescent="0.25">
      <c r="A387" s="2" t="s">
        <v>682</v>
      </c>
      <c r="B387" s="1" t="s">
        <v>95</v>
      </c>
      <c r="C387" s="8">
        <v>45749</v>
      </c>
      <c r="D387" s="1" t="s">
        <v>23</v>
      </c>
      <c r="E387" s="1" t="s">
        <v>23</v>
      </c>
      <c r="F387" s="1" t="s">
        <v>44</v>
      </c>
      <c r="G387" s="1">
        <v>22</v>
      </c>
      <c r="H387" s="1" t="s">
        <v>50</v>
      </c>
      <c r="I387" s="1" t="s">
        <v>58</v>
      </c>
      <c r="J387" s="1" t="s">
        <v>62</v>
      </c>
      <c r="K387" s="14">
        <v>4</v>
      </c>
      <c r="L387" s="1">
        <v>3803</v>
      </c>
      <c r="M387" s="1">
        <v>15</v>
      </c>
      <c r="N387" s="1">
        <f>Table1[[#This Row],[Discount]]/100</f>
        <v>0.15</v>
      </c>
      <c r="O387" s="1">
        <v>2281.8000000000002</v>
      </c>
      <c r="P387" s="1">
        <v>12930.2</v>
      </c>
      <c r="Q387" s="1">
        <v>120</v>
      </c>
      <c r="R387" s="1">
        <v>13050.2</v>
      </c>
      <c r="S387" s="1" t="s">
        <v>66</v>
      </c>
      <c r="T387" s="1" t="s">
        <v>39</v>
      </c>
      <c r="U387" s="1" t="s">
        <v>30</v>
      </c>
      <c r="V387" s="11">
        <v>3</v>
      </c>
      <c r="W387" s="18">
        <v>3</v>
      </c>
    </row>
    <row r="388" spans="1:23" x14ac:dyDescent="0.25">
      <c r="A388" s="2" t="s">
        <v>683</v>
      </c>
      <c r="B388" s="1" t="s">
        <v>423</v>
      </c>
      <c r="C388" s="8">
        <v>45988</v>
      </c>
      <c r="D388" s="1" t="s">
        <v>78</v>
      </c>
      <c r="E388" s="1" t="s">
        <v>78</v>
      </c>
      <c r="F388" s="1" t="s">
        <v>34</v>
      </c>
      <c r="G388" s="1">
        <v>36</v>
      </c>
      <c r="H388" s="1" t="s">
        <v>35</v>
      </c>
      <c r="I388" s="1" t="s">
        <v>74</v>
      </c>
      <c r="J388" s="1" t="s">
        <v>75</v>
      </c>
      <c r="K388" s="14">
        <v>5</v>
      </c>
      <c r="L388" s="1">
        <v>2801</v>
      </c>
      <c r="M388" s="1">
        <v>15</v>
      </c>
      <c r="N388" s="1">
        <f>Table1[[#This Row],[Discount]]/100</f>
        <v>0.15</v>
      </c>
      <c r="O388" s="1">
        <v>2100.75</v>
      </c>
      <c r="P388" s="1">
        <v>11904.25</v>
      </c>
      <c r="Q388" s="1">
        <v>133</v>
      </c>
      <c r="R388" s="1">
        <v>12037.25</v>
      </c>
      <c r="S388" s="1" t="s">
        <v>52</v>
      </c>
      <c r="T388" s="1" t="s">
        <v>29</v>
      </c>
      <c r="U388" s="1" t="s">
        <v>30</v>
      </c>
      <c r="V388" s="11">
        <v>1</v>
      </c>
      <c r="W388" s="18">
        <v>3.5</v>
      </c>
    </row>
    <row r="389" spans="1:23" x14ac:dyDescent="0.25">
      <c r="A389" s="2" t="s">
        <v>684</v>
      </c>
      <c r="B389" s="1" t="s">
        <v>543</v>
      </c>
      <c r="C389" s="8">
        <v>45814</v>
      </c>
      <c r="D389" s="1" t="s">
        <v>83</v>
      </c>
      <c r="E389" s="1" t="s">
        <v>83</v>
      </c>
      <c r="F389" s="1" t="s">
        <v>44</v>
      </c>
      <c r="G389" s="1">
        <v>34</v>
      </c>
      <c r="H389" s="1" t="s">
        <v>69</v>
      </c>
      <c r="I389" s="1" t="s">
        <v>45</v>
      </c>
      <c r="J389" s="1" t="s">
        <v>84</v>
      </c>
      <c r="K389" s="14">
        <v>3</v>
      </c>
      <c r="L389" s="1">
        <v>2326</v>
      </c>
      <c r="M389" s="1">
        <v>10</v>
      </c>
      <c r="N389" s="1">
        <f>Table1[[#This Row],[Discount]]/100</f>
        <v>0.1</v>
      </c>
      <c r="O389" s="1">
        <v>697.8</v>
      </c>
      <c r="P389" s="1">
        <v>6280.2</v>
      </c>
      <c r="Q389" s="1">
        <v>249</v>
      </c>
      <c r="R389" s="1">
        <v>6529.2</v>
      </c>
      <c r="S389" s="1" t="s">
        <v>28</v>
      </c>
      <c r="T389" s="1" t="s">
        <v>39</v>
      </c>
      <c r="U389" s="1" t="s">
        <v>30</v>
      </c>
      <c r="V389" s="11">
        <v>2</v>
      </c>
      <c r="W389" s="18">
        <v>3.5</v>
      </c>
    </row>
    <row r="390" spans="1:23" x14ac:dyDescent="0.25">
      <c r="A390" s="2" t="s">
        <v>685</v>
      </c>
      <c r="B390" s="1" t="s">
        <v>329</v>
      </c>
      <c r="C390" s="8">
        <v>45736</v>
      </c>
      <c r="D390" s="1" t="s">
        <v>83</v>
      </c>
      <c r="E390" s="1" t="s">
        <v>83</v>
      </c>
      <c r="F390" s="1" t="s">
        <v>34</v>
      </c>
      <c r="G390" s="1">
        <v>33</v>
      </c>
      <c r="H390" s="1" t="s">
        <v>69</v>
      </c>
      <c r="I390" s="1" t="s">
        <v>88</v>
      </c>
      <c r="J390" s="1" t="s">
        <v>162</v>
      </c>
      <c r="K390" s="14">
        <v>2</v>
      </c>
      <c r="L390" s="1">
        <v>4973</v>
      </c>
      <c r="M390" s="1">
        <v>25</v>
      </c>
      <c r="N390" s="1">
        <f>Table1[[#This Row],[Discount]]/100</f>
        <v>0.25</v>
      </c>
      <c r="O390" s="1">
        <v>2486.5</v>
      </c>
      <c r="P390" s="1">
        <v>7459.5</v>
      </c>
      <c r="Q390" s="1">
        <v>190</v>
      </c>
      <c r="R390" s="1">
        <v>7649.5</v>
      </c>
      <c r="S390" s="1" t="s">
        <v>52</v>
      </c>
      <c r="T390" s="1" t="s">
        <v>39</v>
      </c>
      <c r="U390" s="1" t="s">
        <v>40</v>
      </c>
      <c r="V390" s="11">
        <v>2</v>
      </c>
      <c r="W390" s="18"/>
    </row>
    <row r="391" spans="1:23" x14ac:dyDescent="0.25">
      <c r="A391" s="2" t="s">
        <v>686</v>
      </c>
      <c r="B391" s="1" t="s">
        <v>130</v>
      </c>
      <c r="C391" s="8">
        <v>45931</v>
      </c>
      <c r="D391" s="1" t="s">
        <v>78</v>
      </c>
      <c r="E391" s="1" t="s">
        <v>78</v>
      </c>
      <c r="F391" s="1" t="s">
        <v>44</v>
      </c>
      <c r="G391" s="1">
        <v>25</v>
      </c>
      <c r="H391" s="1" t="s">
        <v>35</v>
      </c>
      <c r="I391" s="1" t="s">
        <v>88</v>
      </c>
      <c r="J391" s="1" t="s">
        <v>207</v>
      </c>
      <c r="K391" s="14">
        <v>2</v>
      </c>
      <c r="L391" s="1">
        <v>868</v>
      </c>
      <c r="M391" s="1">
        <v>10</v>
      </c>
      <c r="N391" s="1">
        <f>Table1[[#This Row],[Discount]]/100</f>
        <v>0.1</v>
      </c>
      <c r="O391" s="1">
        <v>173.6</v>
      </c>
      <c r="P391" s="1">
        <v>1562.4</v>
      </c>
      <c r="Q391" s="1">
        <v>61</v>
      </c>
      <c r="R391" s="1">
        <v>1623.4</v>
      </c>
      <c r="S391" s="1" t="s">
        <v>93</v>
      </c>
      <c r="T391" s="1" t="s">
        <v>118</v>
      </c>
      <c r="U391" s="1" t="s">
        <v>30</v>
      </c>
      <c r="V391" s="11">
        <v>3</v>
      </c>
      <c r="W391" s="18">
        <v>3</v>
      </c>
    </row>
    <row r="392" spans="1:23" x14ac:dyDescent="0.25">
      <c r="A392" s="2" t="s">
        <v>687</v>
      </c>
      <c r="B392" s="1" t="s">
        <v>277</v>
      </c>
      <c r="C392" s="8">
        <v>45947</v>
      </c>
      <c r="D392" s="1" t="s">
        <v>56</v>
      </c>
      <c r="E392" s="1" t="s">
        <v>56</v>
      </c>
      <c r="F392" s="1" t="s">
        <v>24</v>
      </c>
      <c r="G392" s="1">
        <v>46</v>
      </c>
      <c r="H392" s="1" t="s">
        <v>50</v>
      </c>
      <c r="I392" s="1" t="s">
        <v>26</v>
      </c>
      <c r="J392" s="1" t="s">
        <v>79</v>
      </c>
      <c r="K392" s="14">
        <v>5</v>
      </c>
      <c r="L392" s="1">
        <v>44221</v>
      </c>
      <c r="M392" s="1">
        <v>20</v>
      </c>
      <c r="N392" s="1">
        <f>Table1[[#This Row],[Discount]]/100</f>
        <v>0.2</v>
      </c>
      <c r="O392" s="1">
        <v>44221</v>
      </c>
      <c r="P392" s="1">
        <v>176884</v>
      </c>
      <c r="Q392" s="1">
        <v>224</v>
      </c>
      <c r="R392" s="1">
        <v>177108</v>
      </c>
      <c r="S392" s="1" t="s">
        <v>66</v>
      </c>
      <c r="T392" s="1" t="s">
        <v>118</v>
      </c>
      <c r="U392" s="1" t="s">
        <v>40</v>
      </c>
      <c r="V392" s="11">
        <v>6</v>
      </c>
      <c r="W392" s="18"/>
    </row>
    <row r="393" spans="1:23" x14ac:dyDescent="0.25">
      <c r="A393" s="2" t="s">
        <v>688</v>
      </c>
      <c r="B393" s="1" t="s">
        <v>91</v>
      </c>
      <c r="C393" s="8">
        <v>45825</v>
      </c>
      <c r="D393" s="1" t="s">
        <v>107</v>
      </c>
      <c r="E393" s="1" t="s">
        <v>107</v>
      </c>
      <c r="F393" s="1" t="s">
        <v>24</v>
      </c>
      <c r="G393" s="1">
        <v>56</v>
      </c>
      <c r="H393" s="1" t="s">
        <v>25</v>
      </c>
      <c r="I393" s="1" t="s">
        <v>26</v>
      </c>
      <c r="J393" s="1" t="s">
        <v>51</v>
      </c>
      <c r="K393" s="14">
        <v>5</v>
      </c>
      <c r="L393" s="1">
        <v>16119</v>
      </c>
      <c r="M393" s="1">
        <v>5</v>
      </c>
      <c r="N393" s="1">
        <f>Table1[[#This Row],[Discount]]/100</f>
        <v>0.05</v>
      </c>
      <c r="O393" s="1">
        <v>4029.75</v>
      </c>
      <c r="P393" s="1">
        <v>76565.25</v>
      </c>
      <c r="Q393" s="1">
        <v>43</v>
      </c>
      <c r="R393" s="1">
        <v>76608.25</v>
      </c>
      <c r="S393" s="1" t="s">
        <v>47</v>
      </c>
      <c r="T393" s="1" t="s">
        <v>118</v>
      </c>
      <c r="U393" s="1" t="s">
        <v>30</v>
      </c>
      <c r="V393" s="11">
        <v>1</v>
      </c>
      <c r="W393" s="18">
        <v>5</v>
      </c>
    </row>
    <row r="394" spans="1:23" x14ac:dyDescent="0.25">
      <c r="A394" s="2" t="s">
        <v>689</v>
      </c>
      <c r="B394" s="1" t="s">
        <v>558</v>
      </c>
      <c r="C394" s="8">
        <v>45919</v>
      </c>
      <c r="D394" s="1" t="s">
        <v>33</v>
      </c>
      <c r="E394" s="1" t="s">
        <v>33</v>
      </c>
      <c r="F394" s="1" t="s">
        <v>34</v>
      </c>
      <c r="G394" s="1">
        <v>60</v>
      </c>
      <c r="H394" s="1" t="s">
        <v>57</v>
      </c>
      <c r="I394" s="1" t="s">
        <v>26</v>
      </c>
      <c r="J394" s="1" t="s">
        <v>27</v>
      </c>
      <c r="K394" s="14">
        <v>5</v>
      </c>
      <c r="L394" s="1">
        <v>59187</v>
      </c>
      <c r="M394" s="1">
        <v>15</v>
      </c>
      <c r="N394" s="1">
        <f>Table1[[#This Row],[Discount]]/100</f>
        <v>0.15</v>
      </c>
      <c r="O394" s="1">
        <v>44390.25</v>
      </c>
      <c r="P394" s="1">
        <v>251544.75</v>
      </c>
      <c r="Q394" s="1">
        <v>174</v>
      </c>
      <c r="R394" s="1">
        <v>251718.75</v>
      </c>
      <c r="S394" s="1" t="s">
        <v>38</v>
      </c>
      <c r="T394" s="1" t="s">
        <v>118</v>
      </c>
      <c r="U394" s="1" t="s">
        <v>30</v>
      </c>
      <c r="V394" s="11">
        <v>1</v>
      </c>
      <c r="W394" s="18">
        <v>4</v>
      </c>
    </row>
    <row r="395" spans="1:23" x14ac:dyDescent="0.25">
      <c r="A395" s="2" t="s">
        <v>690</v>
      </c>
      <c r="B395" s="1" t="s">
        <v>536</v>
      </c>
      <c r="C395" s="8">
        <v>45870</v>
      </c>
      <c r="D395" s="1" t="s">
        <v>83</v>
      </c>
      <c r="E395" s="1" t="s">
        <v>83</v>
      </c>
      <c r="F395" s="1" t="s">
        <v>34</v>
      </c>
      <c r="G395" s="1">
        <v>46</v>
      </c>
      <c r="H395" s="1" t="s">
        <v>57</v>
      </c>
      <c r="I395" s="1" t="s">
        <v>26</v>
      </c>
      <c r="J395" s="1" t="s">
        <v>198</v>
      </c>
      <c r="K395" s="14">
        <v>3</v>
      </c>
      <c r="L395" s="1">
        <v>46852</v>
      </c>
      <c r="M395" s="1">
        <v>25</v>
      </c>
      <c r="N395" s="1">
        <f>Table1[[#This Row],[Discount]]/100</f>
        <v>0.25</v>
      </c>
      <c r="O395" s="1">
        <v>35139</v>
      </c>
      <c r="P395" s="1">
        <v>105417</v>
      </c>
      <c r="Q395" s="1">
        <v>209</v>
      </c>
      <c r="R395" s="1">
        <v>105626</v>
      </c>
      <c r="S395" s="1" t="s">
        <v>66</v>
      </c>
      <c r="T395" s="1" t="s">
        <v>118</v>
      </c>
      <c r="U395" s="1" t="s">
        <v>80</v>
      </c>
      <c r="W395" s="18"/>
    </row>
    <row r="396" spans="1:23" x14ac:dyDescent="0.25">
      <c r="A396" s="2" t="s">
        <v>691</v>
      </c>
      <c r="B396" s="1" t="s">
        <v>209</v>
      </c>
      <c r="C396" s="8">
        <v>45850</v>
      </c>
      <c r="D396" s="1" t="s">
        <v>56</v>
      </c>
      <c r="E396" s="1" t="s">
        <v>56</v>
      </c>
      <c r="F396" s="1" t="s">
        <v>44</v>
      </c>
      <c r="G396" s="1">
        <v>18</v>
      </c>
      <c r="H396" s="1" t="s">
        <v>57</v>
      </c>
      <c r="I396" s="1" t="s">
        <v>58</v>
      </c>
      <c r="J396" s="1" t="s">
        <v>114</v>
      </c>
      <c r="K396" s="14">
        <v>1</v>
      </c>
      <c r="L396" s="1">
        <v>3703</v>
      </c>
      <c r="M396" s="1">
        <v>10</v>
      </c>
      <c r="N396" s="1">
        <f>Table1[[#This Row],[Discount]]/100</f>
        <v>0.1</v>
      </c>
      <c r="O396" s="1">
        <v>370.3</v>
      </c>
      <c r="P396" s="1">
        <v>3332.7</v>
      </c>
      <c r="Q396" s="1">
        <v>171</v>
      </c>
      <c r="R396" s="1">
        <v>3503.7</v>
      </c>
      <c r="S396" s="1" t="s">
        <v>47</v>
      </c>
      <c r="T396" s="1" t="s">
        <v>29</v>
      </c>
      <c r="U396" s="1" t="s">
        <v>30</v>
      </c>
      <c r="V396" s="11">
        <v>1</v>
      </c>
      <c r="W396" s="18">
        <v>4</v>
      </c>
    </row>
    <row r="397" spans="1:23" x14ac:dyDescent="0.25">
      <c r="A397" s="2" t="s">
        <v>692</v>
      </c>
      <c r="B397" s="1" t="s">
        <v>485</v>
      </c>
      <c r="C397" s="8">
        <v>45957</v>
      </c>
      <c r="D397" s="1" t="s">
        <v>78</v>
      </c>
      <c r="E397" s="1" t="s">
        <v>78</v>
      </c>
      <c r="F397" s="1" t="s">
        <v>24</v>
      </c>
      <c r="G397" s="1">
        <v>49</v>
      </c>
      <c r="H397" s="1" t="s">
        <v>57</v>
      </c>
      <c r="I397" s="1" t="s">
        <v>36</v>
      </c>
      <c r="J397" s="1" t="s">
        <v>37</v>
      </c>
      <c r="K397" s="14">
        <v>2</v>
      </c>
      <c r="L397" s="1">
        <v>4418</v>
      </c>
      <c r="M397" s="1">
        <v>0</v>
      </c>
      <c r="N397" s="1">
        <f>Table1[[#This Row],[Discount]]/100</f>
        <v>0</v>
      </c>
      <c r="O397" s="1">
        <v>0</v>
      </c>
      <c r="P397" s="1">
        <v>8836</v>
      </c>
      <c r="Q397" s="1">
        <v>97</v>
      </c>
      <c r="R397" s="1">
        <v>8933</v>
      </c>
      <c r="S397" s="1" t="s">
        <v>47</v>
      </c>
      <c r="T397" s="1" t="s">
        <v>39</v>
      </c>
      <c r="U397" s="1" t="s">
        <v>53</v>
      </c>
      <c r="W397" s="18"/>
    </row>
    <row r="398" spans="1:23" x14ac:dyDescent="0.25">
      <c r="A398" s="2" t="s">
        <v>693</v>
      </c>
      <c r="B398" s="1" t="s">
        <v>169</v>
      </c>
      <c r="C398" s="8">
        <v>46010</v>
      </c>
      <c r="D398" s="1" t="s">
        <v>140</v>
      </c>
      <c r="E398" s="1" t="s">
        <v>141</v>
      </c>
      <c r="F398" s="1" t="s">
        <v>44</v>
      </c>
      <c r="G398" s="1">
        <v>33</v>
      </c>
      <c r="H398" s="1" t="s">
        <v>57</v>
      </c>
      <c r="I398" s="1" t="s">
        <v>26</v>
      </c>
      <c r="J398" s="1" t="s">
        <v>51</v>
      </c>
      <c r="K398" s="14">
        <v>3</v>
      </c>
      <c r="L398" s="1">
        <v>40143</v>
      </c>
      <c r="M398" s="1">
        <v>10</v>
      </c>
      <c r="N398" s="1">
        <f>Table1[[#This Row],[Discount]]/100</f>
        <v>0.1</v>
      </c>
      <c r="O398" s="1">
        <v>12042.9</v>
      </c>
      <c r="P398" s="1">
        <v>108386.1</v>
      </c>
      <c r="Q398" s="1">
        <v>145</v>
      </c>
      <c r="R398" s="1">
        <v>108531.1</v>
      </c>
      <c r="S398" s="1" t="s">
        <v>28</v>
      </c>
      <c r="T398" s="1" t="s">
        <v>29</v>
      </c>
      <c r="U398" s="1" t="s">
        <v>30</v>
      </c>
      <c r="V398" s="11">
        <v>6</v>
      </c>
      <c r="W398" s="18">
        <v>3</v>
      </c>
    </row>
    <row r="399" spans="1:23" x14ac:dyDescent="0.25">
      <c r="A399" s="2" t="s">
        <v>694</v>
      </c>
      <c r="B399" s="1" t="s">
        <v>671</v>
      </c>
      <c r="C399" s="8">
        <v>45952</v>
      </c>
      <c r="D399" s="1" t="s">
        <v>102</v>
      </c>
      <c r="E399" s="1" t="s">
        <v>103</v>
      </c>
      <c r="F399" s="1" t="s">
        <v>34</v>
      </c>
      <c r="G399" s="1">
        <v>34</v>
      </c>
      <c r="H399" s="1" t="s">
        <v>35</v>
      </c>
      <c r="I399" s="1" t="s">
        <v>88</v>
      </c>
      <c r="J399" s="1" t="s">
        <v>117</v>
      </c>
      <c r="K399" s="14">
        <v>4</v>
      </c>
      <c r="L399" s="1">
        <v>4525</v>
      </c>
      <c r="M399" s="1">
        <v>0</v>
      </c>
      <c r="N399" s="1">
        <f>Table1[[#This Row],[Discount]]/100</f>
        <v>0</v>
      </c>
      <c r="O399" s="1">
        <v>0</v>
      </c>
      <c r="P399" s="1">
        <v>18100</v>
      </c>
      <c r="Q399" s="1">
        <v>207</v>
      </c>
      <c r="R399" s="1">
        <v>18307</v>
      </c>
      <c r="S399" s="1" t="s">
        <v>38</v>
      </c>
      <c r="T399" s="1" t="s">
        <v>118</v>
      </c>
      <c r="U399" s="1" t="s">
        <v>30</v>
      </c>
      <c r="V399" s="11">
        <v>1</v>
      </c>
      <c r="W399" s="18">
        <v>3.5</v>
      </c>
    </row>
    <row r="400" spans="1:23" x14ac:dyDescent="0.25">
      <c r="A400" s="2" t="s">
        <v>695</v>
      </c>
      <c r="B400" s="1" t="s">
        <v>91</v>
      </c>
      <c r="C400" s="8">
        <v>45929</v>
      </c>
      <c r="D400" s="1" t="s">
        <v>107</v>
      </c>
      <c r="E400" s="1" t="s">
        <v>107</v>
      </c>
      <c r="F400" s="1" t="s">
        <v>24</v>
      </c>
      <c r="G400" s="1">
        <v>22</v>
      </c>
      <c r="H400" s="1" t="s">
        <v>35</v>
      </c>
      <c r="I400" s="1" t="s">
        <v>36</v>
      </c>
      <c r="J400" s="1" t="s">
        <v>159</v>
      </c>
      <c r="K400" s="14">
        <v>3</v>
      </c>
      <c r="L400" s="1">
        <v>5612</v>
      </c>
      <c r="M400" s="1">
        <v>10</v>
      </c>
      <c r="N400" s="1">
        <f>Table1[[#This Row],[Discount]]/100</f>
        <v>0.1</v>
      </c>
      <c r="O400" s="1">
        <v>1683.6</v>
      </c>
      <c r="P400" s="1">
        <v>15152.4</v>
      </c>
      <c r="Q400" s="1">
        <v>94</v>
      </c>
      <c r="R400" s="1">
        <v>15246.4</v>
      </c>
      <c r="S400" s="1" t="s">
        <v>28</v>
      </c>
      <c r="T400" s="1" t="s">
        <v>29</v>
      </c>
      <c r="U400" s="1" t="s">
        <v>30</v>
      </c>
      <c r="V400" s="11">
        <v>6</v>
      </c>
      <c r="W400" s="18">
        <v>4.5</v>
      </c>
    </row>
    <row r="401" spans="1:23" x14ac:dyDescent="0.25">
      <c r="A401" s="2" t="s">
        <v>696</v>
      </c>
      <c r="B401" s="1" t="s">
        <v>305</v>
      </c>
      <c r="C401" s="8">
        <v>45664</v>
      </c>
      <c r="D401" s="1" t="s">
        <v>140</v>
      </c>
      <c r="E401" s="1" t="s">
        <v>141</v>
      </c>
      <c r="F401" s="1" t="s">
        <v>44</v>
      </c>
      <c r="G401" s="1">
        <v>51</v>
      </c>
      <c r="H401" s="1" t="s">
        <v>57</v>
      </c>
      <c r="I401" s="1" t="s">
        <v>74</v>
      </c>
      <c r="J401" s="1" t="s">
        <v>409</v>
      </c>
      <c r="K401" s="14">
        <v>3</v>
      </c>
      <c r="L401" s="1">
        <v>2866</v>
      </c>
      <c r="M401" s="1">
        <v>20</v>
      </c>
      <c r="N401" s="1">
        <f>Table1[[#This Row],[Discount]]/100</f>
        <v>0.2</v>
      </c>
      <c r="O401" s="1">
        <v>1719.6</v>
      </c>
      <c r="P401" s="1">
        <v>6878.4</v>
      </c>
      <c r="Q401" s="1">
        <v>56</v>
      </c>
      <c r="R401" s="1">
        <v>6934.4</v>
      </c>
      <c r="S401" s="1" t="s">
        <v>38</v>
      </c>
      <c r="T401" s="1" t="s">
        <v>39</v>
      </c>
      <c r="U401" s="1" t="s">
        <v>30</v>
      </c>
      <c r="V401" s="11">
        <v>2</v>
      </c>
      <c r="W401" s="18">
        <v>4</v>
      </c>
    </row>
    <row r="402" spans="1:23" x14ac:dyDescent="0.25">
      <c r="A402" s="2" t="s">
        <v>697</v>
      </c>
      <c r="B402" s="1" t="s">
        <v>329</v>
      </c>
      <c r="C402" s="8">
        <v>45716</v>
      </c>
      <c r="D402" s="1" t="s">
        <v>43</v>
      </c>
      <c r="E402" s="1" t="s">
        <v>43</v>
      </c>
      <c r="F402" s="1" t="s">
        <v>34</v>
      </c>
      <c r="G402" s="1">
        <v>47</v>
      </c>
      <c r="H402" s="1" t="s">
        <v>50</v>
      </c>
      <c r="I402" s="1" t="s">
        <v>74</v>
      </c>
      <c r="J402" s="1" t="s">
        <v>75</v>
      </c>
      <c r="K402" s="14">
        <v>5</v>
      </c>
      <c r="L402" s="1">
        <v>1943</v>
      </c>
      <c r="M402" s="1">
        <v>25</v>
      </c>
      <c r="N402" s="1">
        <f>Table1[[#This Row],[Discount]]/100</f>
        <v>0.25</v>
      </c>
      <c r="O402" s="1">
        <v>2428.75</v>
      </c>
      <c r="P402" s="1">
        <v>7286.25</v>
      </c>
      <c r="Q402" s="1">
        <v>213</v>
      </c>
      <c r="R402" s="1">
        <v>7499.25</v>
      </c>
      <c r="S402" s="1" t="s">
        <v>93</v>
      </c>
      <c r="T402" s="1" t="s">
        <v>118</v>
      </c>
      <c r="U402" s="1" t="s">
        <v>30</v>
      </c>
      <c r="V402" s="11">
        <v>4</v>
      </c>
      <c r="W402" s="18">
        <v>3</v>
      </c>
    </row>
    <row r="403" spans="1:23" x14ac:dyDescent="0.25">
      <c r="A403" s="2" t="s">
        <v>698</v>
      </c>
      <c r="B403" s="1" t="s">
        <v>699</v>
      </c>
      <c r="C403" s="8">
        <v>45718</v>
      </c>
      <c r="D403" s="1" t="s">
        <v>110</v>
      </c>
      <c r="E403" s="1" t="s">
        <v>110</v>
      </c>
      <c r="F403" s="1" t="s">
        <v>24</v>
      </c>
      <c r="G403" s="1">
        <v>26</v>
      </c>
      <c r="H403" s="1" t="s">
        <v>35</v>
      </c>
      <c r="I403" s="1" t="s">
        <v>36</v>
      </c>
      <c r="J403" s="1" t="s">
        <v>156</v>
      </c>
      <c r="K403" s="14">
        <v>2</v>
      </c>
      <c r="L403" s="1">
        <v>6215</v>
      </c>
      <c r="M403" s="1">
        <v>10</v>
      </c>
      <c r="N403" s="1">
        <f>Table1[[#This Row],[Discount]]/100</f>
        <v>0.1</v>
      </c>
      <c r="O403" s="1">
        <v>1243</v>
      </c>
      <c r="P403" s="1">
        <v>11187</v>
      </c>
      <c r="Q403" s="1">
        <v>228</v>
      </c>
      <c r="R403" s="1">
        <v>11415</v>
      </c>
      <c r="S403" s="1" t="s">
        <v>38</v>
      </c>
      <c r="T403" s="1" t="s">
        <v>39</v>
      </c>
      <c r="U403" s="1" t="s">
        <v>30</v>
      </c>
      <c r="V403" s="11">
        <v>2</v>
      </c>
      <c r="W403" s="18">
        <v>5</v>
      </c>
    </row>
    <row r="404" spans="1:23" x14ac:dyDescent="0.25">
      <c r="A404" s="2" t="s">
        <v>700</v>
      </c>
      <c r="B404" s="1" t="s">
        <v>516</v>
      </c>
      <c r="C404" s="8">
        <v>45995</v>
      </c>
      <c r="D404" s="1" t="s">
        <v>33</v>
      </c>
      <c r="E404" s="1" t="s">
        <v>33</v>
      </c>
      <c r="F404" s="1" t="s">
        <v>34</v>
      </c>
      <c r="G404" s="1">
        <v>55</v>
      </c>
      <c r="H404" s="1" t="s">
        <v>69</v>
      </c>
      <c r="I404" s="1" t="s">
        <v>74</v>
      </c>
      <c r="J404" s="1" t="s">
        <v>137</v>
      </c>
      <c r="K404" s="14">
        <v>4</v>
      </c>
      <c r="L404" s="1">
        <v>1036</v>
      </c>
      <c r="M404" s="1">
        <v>0</v>
      </c>
      <c r="N404" s="1">
        <f>Table1[[#This Row],[Discount]]/100</f>
        <v>0</v>
      </c>
      <c r="O404" s="1">
        <v>0</v>
      </c>
      <c r="P404" s="1">
        <v>4144</v>
      </c>
      <c r="Q404" s="1">
        <v>28</v>
      </c>
      <c r="R404" s="1">
        <v>4172</v>
      </c>
      <c r="S404" s="1" t="s">
        <v>28</v>
      </c>
      <c r="T404" s="1" t="s">
        <v>39</v>
      </c>
      <c r="U404" s="1" t="s">
        <v>30</v>
      </c>
      <c r="V404" s="11">
        <v>5</v>
      </c>
      <c r="W404" s="18">
        <v>3</v>
      </c>
    </row>
    <row r="405" spans="1:23" x14ac:dyDescent="0.25">
      <c r="A405" s="2" t="s">
        <v>701</v>
      </c>
      <c r="B405" s="1" t="s">
        <v>401</v>
      </c>
      <c r="C405" s="8">
        <v>45704</v>
      </c>
      <c r="D405" s="1" t="s">
        <v>110</v>
      </c>
      <c r="E405" s="1" t="s">
        <v>110</v>
      </c>
      <c r="F405" s="1" t="s">
        <v>24</v>
      </c>
      <c r="G405" s="1">
        <v>35</v>
      </c>
      <c r="H405" s="1" t="s">
        <v>69</v>
      </c>
      <c r="I405" s="1" t="s">
        <v>36</v>
      </c>
      <c r="J405" s="1" t="s">
        <v>177</v>
      </c>
      <c r="K405" s="14">
        <v>1</v>
      </c>
      <c r="L405" s="1">
        <v>2038</v>
      </c>
      <c r="M405" s="1">
        <v>5</v>
      </c>
      <c r="N405" s="1">
        <f>Table1[[#This Row],[Discount]]/100</f>
        <v>0.05</v>
      </c>
      <c r="O405" s="1">
        <v>101.9</v>
      </c>
      <c r="P405" s="1">
        <v>1936.1</v>
      </c>
      <c r="Q405" s="1">
        <v>27</v>
      </c>
      <c r="R405" s="1">
        <v>1963.1</v>
      </c>
      <c r="S405" s="1" t="s">
        <v>38</v>
      </c>
      <c r="T405" s="1" t="s">
        <v>39</v>
      </c>
      <c r="U405" s="1" t="s">
        <v>40</v>
      </c>
      <c r="V405" s="11">
        <v>2</v>
      </c>
      <c r="W405" s="18"/>
    </row>
    <row r="406" spans="1:23" x14ac:dyDescent="0.25">
      <c r="A406" s="2" t="s">
        <v>702</v>
      </c>
      <c r="B406" s="1" t="s">
        <v>703</v>
      </c>
      <c r="C406" s="8">
        <v>45756</v>
      </c>
      <c r="D406" s="1" t="s">
        <v>87</v>
      </c>
      <c r="E406" s="1" t="s">
        <v>87</v>
      </c>
      <c r="F406" s="1" t="s">
        <v>24</v>
      </c>
      <c r="G406" s="1">
        <v>28</v>
      </c>
      <c r="H406" s="1" t="s">
        <v>50</v>
      </c>
      <c r="I406" s="1" t="s">
        <v>58</v>
      </c>
      <c r="J406" s="1" t="s">
        <v>114</v>
      </c>
      <c r="K406" s="14">
        <v>2</v>
      </c>
      <c r="L406" s="1">
        <v>3507</v>
      </c>
      <c r="M406" s="1">
        <v>0</v>
      </c>
      <c r="N406" s="1">
        <f>Table1[[#This Row],[Discount]]/100</f>
        <v>0</v>
      </c>
      <c r="O406" s="1">
        <v>0</v>
      </c>
      <c r="P406" s="1">
        <v>7014</v>
      </c>
      <c r="Q406" s="1">
        <v>203</v>
      </c>
      <c r="R406" s="1">
        <v>7217</v>
      </c>
      <c r="S406" s="1" t="s">
        <v>47</v>
      </c>
      <c r="T406" s="1" t="s">
        <v>29</v>
      </c>
      <c r="U406" s="1" t="s">
        <v>30</v>
      </c>
      <c r="V406" s="11">
        <v>3</v>
      </c>
      <c r="W406" s="18">
        <v>4.5</v>
      </c>
    </row>
    <row r="407" spans="1:23" x14ac:dyDescent="0.25">
      <c r="A407" s="2" t="s">
        <v>704</v>
      </c>
      <c r="B407" s="1" t="s">
        <v>555</v>
      </c>
      <c r="C407" s="8">
        <v>45774</v>
      </c>
      <c r="D407" s="1" t="s">
        <v>87</v>
      </c>
      <c r="E407" s="1" t="s">
        <v>87</v>
      </c>
      <c r="F407" s="1" t="s">
        <v>44</v>
      </c>
      <c r="G407" s="1">
        <v>25</v>
      </c>
      <c r="H407" s="1" t="s">
        <v>50</v>
      </c>
      <c r="I407" s="1" t="s">
        <v>36</v>
      </c>
      <c r="J407" s="1" t="s">
        <v>92</v>
      </c>
      <c r="K407" s="14">
        <v>3</v>
      </c>
      <c r="L407" s="1">
        <v>3306</v>
      </c>
      <c r="M407" s="1">
        <v>15</v>
      </c>
      <c r="N407" s="1">
        <f>Table1[[#This Row],[Discount]]/100</f>
        <v>0.15</v>
      </c>
      <c r="O407" s="1">
        <v>1487.7</v>
      </c>
      <c r="P407" s="1">
        <v>8430.2999999999993</v>
      </c>
      <c r="Q407" s="1">
        <v>151</v>
      </c>
      <c r="R407" s="1">
        <v>8581.2999999999993</v>
      </c>
      <c r="S407" s="1" t="s">
        <v>52</v>
      </c>
      <c r="T407" s="1" t="s">
        <v>39</v>
      </c>
      <c r="U407" s="1" t="s">
        <v>30</v>
      </c>
      <c r="V407" s="11">
        <v>4</v>
      </c>
      <c r="W407" s="18">
        <v>4</v>
      </c>
    </row>
    <row r="408" spans="1:23" x14ac:dyDescent="0.25">
      <c r="A408" s="2" t="s">
        <v>705</v>
      </c>
      <c r="B408" s="1" t="s">
        <v>361</v>
      </c>
      <c r="C408" s="8">
        <v>45817</v>
      </c>
      <c r="D408" s="1" t="s">
        <v>78</v>
      </c>
      <c r="E408" s="1" t="s">
        <v>78</v>
      </c>
      <c r="F408" s="1" t="s">
        <v>44</v>
      </c>
      <c r="G408" s="1">
        <v>46</v>
      </c>
      <c r="H408" s="1" t="s">
        <v>69</v>
      </c>
      <c r="I408" s="1" t="s">
        <v>88</v>
      </c>
      <c r="J408" s="1" t="s">
        <v>207</v>
      </c>
      <c r="K408" s="14">
        <v>5</v>
      </c>
      <c r="L408" s="1">
        <v>5675</v>
      </c>
      <c r="M408" s="1">
        <v>10</v>
      </c>
      <c r="N408" s="1">
        <f>Table1[[#This Row],[Discount]]/100</f>
        <v>0.1</v>
      </c>
      <c r="O408" s="1">
        <v>2837.5</v>
      </c>
      <c r="P408" s="1">
        <v>25537.5</v>
      </c>
      <c r="Q408" s="1">
        <v>208</v>
      </c>
      <c r="R408" s="1">
        <v>25745.5</v>
      </c>
      <c r="S408" s="1" t="s">
        <v>93</v>
      </c>
      <c r="T408" s="1" t="s">
        <v>39</v>
      </c>
      <c r="U408" s="1" t="s">
        <v>30</v>
      </c>
      <c r="V408" s="11">
        <v>6</v>
      </c>
      <c r="W408" s="18">
        <v>3.5</v>
      </c>
    </row>
    <row r="409" spans="1:23" x14ac:dyDescent="0.25">
      <c r="A409" s="2" t="s">
        <v>706</v>
      </c>
      <c r="B409" s="1" t="s">
        <v>246</v>
      </c>
      <c r="C409" s="8">
        <v>45719</v>
      </c>
      <c r="D409" s="1" t="s">
        <v>87</v>
      </c>
      <c r="E409" s="1" t="s">
        <v>87</v>
      </c>
      <c r="F409" s="1" t="s">
        <v>24</v>
      </c>
      <c r="G409" s="1">
        <v>43</v>
      </c>
      <c r="H409" s="1" t="s">
        <v>25</v>
      </c>
      <c r="I409" s="1" t="s">
        <v>26</v>
      </c>
      <c r="J409" s="1" t="s">
        <v>283</v>
      </c>
      <c r="K409" s="14">
        <v>3</v>
      </c>
      <c r="L409" s="1">
        <v>24300</v>
      </c>
      <c r="M409" s="1">
        <v>20</v>
      </c>
      <c r="N409" s="1">
        <f>Table1[[#This Row],[Discount]]/100</f>
        <v>0.2</v>
      </c>
      <c r="O409" s="1">
        <v>14580</v>
      </c>
      <c r="P409" s="1">
        <v>58320</v>
      </c>
      <c r="Q409" s="1">
        <v>41</v>
      </c>
      <c r="R409" s="1">
        <v>58361</v>
      </c>
      <c r="S409" s="1" t="s">
        <v>28</v>
      </c>
      <c r="T409" s="1" t="s">
        <v>29</v>
      </c>
      <c r="U409" s="1" t="s">
        <v>40</v>
      </c>
      <c r="V409" s="11">
        <v>2</v>
      </c>
      <c r="W409" s="18"/>
    </row>
    <row r="410" spans="1:23" x14ac:dyDescent="0.25">
      <c r="A410" s="2" t="s">
        <v>707</v>
      </c>
      <c r="B410" s="1" t="s">
        <v>344</v>
      </c>
      <c r="C410" s="8">
        <v>45955</v>
      </c>
      <c r="D410" s="1" t="s">
        <v>107</v>
      </c>
      <c r="E410" s="1" t="s">
        <v>107</v>
      </c>
      <c r="F410" s="1" t="s">
        <v>24</v>
      </c>
      <c r="G410" s="1">
        <v>35</v>
      </c>
      <c r="H410" s="1" t="s">
        <v>57</v>
      </c>
      <c r="I410" s="1" t="s">
        <v>74</v>
      </c>
      <c r="J410" s="1" t="s">
        <v>137</v>
      </c>
      <c r="K410" s="14">
        <v>3</v>
      </c>
      <c r="L410" s="1">
        <v>3174</v>
      </c>
      <c r="M410" s="1">
        <v>15</v>
      </c>
      <c r="N410" s="1">
        <f>Table1[[#This Row],[Discount]]/100</f>
        <v>0.15</v>
      </c>
      <c r="O410" s="1">
        <v>1428.3</v>
      </c>
      <c r="P410" s="1">
        <v>8093.7</v>
      </c>
      <c r="Q410" s="1">
        <v>91</v>
      </c>
      <c r="R410" s="1">
        <v>8184.7</v>
      </c>
      <c r="S410" s="1" t="s">
        <v>38</v>
      </c>
      <c r="T410" s="1" t="s">
        <v>118</v>
      </c>
      <c r="U410" s="1" t="s">
        <v>40</v>
      </c>
      <c r="V410" s="11">
        <v>5</v>
      </c>
      <c r="W410" s="18"/>
    </row>
    <row r="411" spans="1:23" x14ac:dyDescent="0.25">
      <c r="A411" s="2" t="s">
        <v>708</v>
      </c>
      <c r="B411" s="1" t="s">
        <v>462</v>
      </c>
      <c r="C411" s="8">
        <v>45979</v>
      </c>
      <c r="D411" s="1" t="s">
        <v>23</v>
      </c>
      <c r="E411" s="1" t="s">
        <v>23</v>
      </c>
      <c r="F411" s="1" t="s">
        <v>34</v>
      </c>
      <c r="G411" s="1">
        <v>19</v>
      </c>
      <c r="H411" s="1" t="s">
        <v>50</v>
      </c>
      <c r="I411" s="1" t="s">
        <v>58</v>
      </c>
      <c r="J411" s="1" t="s">
        <v>65</v>
      </c>
      <c r="K411" s="14">
        <v>4</v>
      </c>
      <c r="L411" s="1">
        <v>592</v>
      </c>
      <c r="M411" s="1">
        <v>10</v>
      </c>
      <c r="N411" s="1">
        <f>Table1[[#This Row],[Discount]]/100</f>
        <v>0.1</v>
      </c>
      <c r="O411" s="1">
        <v>236.8</v>
      </c>
      <c r="P411" s="1">
        <v>2131.1999999999998</v>
      </c>
      <c r="Q411" s="1">
        <v>79</v>
      </c>
      <c r="R411" s="1">
        <v>2210.1999999999998</v>
      </c>
      <c r="S411" s="1" t="s">
        <v>93</v>
      </c>
      <c r="T411" s="1" t="s">
        <v>29</v>
      </c>
      <c r="U411" s="1" t="s">
        <v>30</v>
      </c>
      <c r="V411" s="11">
        <v>2</v>
      </c>
      <c r="W411" s="18">
        <v>3</v>
      </c>
    </row>
    <row r="412" spans="1:23" x14ac:dyDescent="0.25">
      <c r="A412" s="2" t="s">
        <v>709</v>
      </c>
      <c r="B412" s="1" t="s">
        <v>287</v>
      </c>
      <c r="C412" s="8">
        <v>45910</v>
      </c>
      <c r="D412" s="1" t="s">
        <v>153</v>
      </c>
      <c r="E412" s="1" t="s">
        <v>153</v>
      </c>
      <c r="F412" s="1" t="s">
        <v>44</v>
      </c>
      <c r="G412" s="1">
        <v>47</v>
      </c>
      <c r="H412" s="1" t="s">
        <v>57</v>
      </c>
      <c r="I412" s="1" t="s">
        <v>74</v>
      </c>
      <c r="J412" s="1" t="s">
        <v>172</v>
      </c>
      <c r="K412" s="14">
        <v>5</v>
      </c>
      <c r="L412" s="1">
        <v>1651</v>
      </c>
      <c r="M412" s="1">
        <v>25</v>
      </c>
      <c r="N412" s="1">
        <f>Table1[[#This Row],[Discount]]/100</f>
        <v>0.25</v>
      </c>
      <c r="O412" s="1">
        <v>2063.75</v>
      </c>
      <c r="P412" s="1">
        <v>6191.25</v>
      </c>
      <c r="Q412" s="1">
        <v>216</v>
      </c>
      <c r="R412" s="1">
        <v>6407.25</v>
      </c>
      <c r="S412" s="1" t="s">
        <v>93</v>
      </c>
      <c r="T412" s="1" t="s">
        <v>29</v>
      </c>
      <c r="U412" s="1" t="s">
        <v>40</v>
      </c>
      <c r="V412" s="11">
        <v>7</v>
      </c>
      <c r="W412" s="18"/>
    </row>
    <row r="413" spans="1:23" x14ac:dyDescent="0.25">
      <c r="A413" s="2" t="s">
        <v>710</v>
      </c>
      <c r="B413" s="1" t="s">
        <v>455</v>
      </c>
      <c r="C413" s="8">
        <v>45850</v>
      </c>
      <c r="D413" s="1" t="s">
        <v>110</v>
      </c>
      <c r="E413" s="1" t="s">
        <v>110</v>
      </c>
      <c r="F413" s="1" t="s">
        <v>34</v>
      </c>
      <c r="G413" s="1">
        <v>47</v>
      </c>
      <c r="H413" s="1" t="s">
        <v>25</v>
      </c>
      <c r="I413" s="1" t="s">
        <v>58</v>
      </c>
      <c r="J413" s="1" t="s">
        <v>62</v>
      </c>
      <c r="K413" s="14">
        <v>5</v>
      </c>
      <c r="L413" s="1">
        <v>3754</v>
      </c>
      <c r="M413" s="1">
        <v>0</v>
      </c>
      <c r="N413" s="1">
        <f>Table1[[#This Row],[Discount]]/100</f>
        <v>0</v>
      </c>
      <c r="O413" s="1">
        <v>0</v>
      </c>
      <c r="P413" s="1">
        <v>18770</v>
      </c>
      <c r="Q413" s="1">
        <v>100</v>
      </c>
      <c r="R413" s="1">
        <v>18870</v>
      </c>
      <c r="S413" s="1" t="s">
        <v>66</v>
      </c>
      <c r="T413" s="1" t="s">
        <v>118</v>
      </c>
      <c r="U413" s="1" t="s">
        <v>30</v>
      </c>
      <c r="V413" s="11">
        <v>4</v>
      </c>
      <c r="W413" s="18">
        <v>3</v>
      </c>
    </row>
    <row r="414" spans="1:23" x14ac:dyDescent="0.25">
      <c r="A414" s="2" t="s">
        <v>711</v>
      </c>
      <c r="B414" s="1" t="s">
        <v>516</v>
      </c>
      <c r="C414" s="8">
        <v>45995</v>
      </c>
      <c r="D414" s="1" t="s">
        <v>107</v>
      </c>
      <c r="E414" s="1" t="s">
        <v>107</v>
      </c>
      <c r="F414" s="1" t="s">
        <v>44</v>
      </c>
      <c r="G414" s="1">
        <v>52</v>
      </c>
      <c r="H414" s="1" t="s">
        <v>25</v>
      </c>
      <c r="I414" s="1" t="s">
        <v>36</v>
      </c>
      <c r="J414" s="1" t="s">
        <v>159</v>
      </c>
      <c r="K414" s="14">
        <v>4</v>
      </c>
      <c r="L414" s="1">
        <v>6658</v>
      </c>
      <c r="M414" s="1">
        <v>0</v>
      </c>
      <c r="N414" s="1">
        <f>Table1[[#This Row],[Discount]]/100</f>
        <v>0</v>
      </c>
      <c r="O414" s="1">
        <v>0</v>
      </c>
      <c r="P414" s="1">
        <v>26632</v>
      </c>
      <c r="Q414" s="1">
        <v>145</v>
      </c>
      <c r="R414" s="1">
        <v>26777</v>
      </c>
      <c r="S414" s="1" t="s">
        <v>47</v>
      </c>
      <c r="T414" s="1" t="s">
        <v>29</v>
      </c>
      <c r="U414" s="1" t="s">
        <v>30</v>
      </c>
      <c r="V414" s="11">
        <v>5</v>
      </c>
      <c r="W414" s="18">
        <v>4.5</v>
      </c>
    </row>
    <row r="415" spans="1:23" x14ac:dyDescent="0.25">
      <c r="A415" s="2" t="s">
        <v>712</v>
      </c>
      <c r="B415" s="1" t="s">
        <v>268</v>
      </c>
      <c r="C415" s="8">
        <v>45845</v>
      </c>
      <c r="D415" s="1" t="s">
        <v>153</v>
      </c>
      <c r="E415" s="1" t="s">
        <v>153</v>
      </c>
      <c r="F415" s="1" t="s">
        <v>24</v>
      </c>
      <c r="G415" s="1">
        <v>55</v>
      </c>
      <c r="H415" s="1" t="s">
        <v>69</v>
      </c>
      <c r="I415" s="1" t="s">
        <v>45</v>
      </c>
      <c r="J415" s="1" t="s">
        <v>111</v>
      </c>
      <c r="K415" s="14">
        <v>4</v>
      </c>
      <c r="L415" s="1">
        <v>1245</v>
      </c>
      <c r="M415" s="1">
        <v>0</v>
      </c>
      <c r="N415" s="1">
        <f>Table1[[#This Row],[Discount]]/100</f>
        <v>0</v>
      </c>
      <c r="O415" s="1">
        <v>0</v>
      </c>
      <c r="P415" s="1">
        <v>4980</v>
      </c>
      <c r="Q415" s="1">
        <v>52</v>
      </c>
      <c r="R415" s="1">
        <v>5032</v>
      </c>
      <c r="S415" s="1" t="s">
        <v>93</v>
      </c>
      <c r="T415" s="1" t="s">
        <v>39</v>
      </c>
      <c r="U415" s="1" t="s">
        <v>30</v>
      </c>
      <c r="V415" s="11">
        <v>3</v>
      </c>
      <c r="W415" s="18">
        <v>3</v>
      </c>
    </row>
    <row r="416" spans="1:23" x14ac:dyDescent="0.25">
      <c r="A416" s="2" t="s">
        <v>713</v>
      </c>
      <c r="B416" s="1" t="s">
        <v>277</v>
      </c>
      <c r="C416" s="8">
        <v>45691</v>
      </c>
      <c r="D416" s="1" t="s">
        <v>96</v>
      </c>
      <c r="E416" s="1" t="s">
        <v>96</v>
      </c>
      <c r="F416" s="1" t="s">
        <v>34</v>
      </c>
      <c r="G416" s="1">
        <v>37</v>
      </c>
      <c r="H416" s="1" t="s">
        <v>50</v>
      </c>
      <c r="I416" s="1" t="s">
        <v>88</v>
      </c>
      <c r="J416" s="1" t="s">
        <v>207</v>
      </c>
      <c r="K416" s="14">
        <v>4</v>
      </c>
      <c r="L416" s="1">
        <v>4301</v>
      </c>
      <c r="M416" s="1">
        <v>10</v>
      </c>
      <c r="N416" s="1">
        <f>Table1[[#This Row],[Discount]]/100</f>
        <v>0.1</v>
      </c>
      <c r="O416" s="1">
        <v>1720.4</v>
      </c>
      <c r="P416" s="1">
        <v>15483.6</v>
      </c>
      <c r="Q416" s="1">
        <v>196</v>
      </c>
      <c r="R416" s="1">
        <v>15679.6</v>
      </c>
      <c r="S416" s="1" t="s">
        <v>52</v>
      </c>
      <c r="T416" s="1" t="s">
        <v>118</v>
      </c>
      <c r="U416" s="1" t="s">
        <v>30</v>
      </c>
      <c r="V416" s="11">
        <v>7</v>
      </c>
      <c r="W416" s="18">
        <v>3</v>
      </c>
    </row>
    <row r="417" spans="1:23" x14ac:dyDescent="0.25">
      <c r="A417" s="2" t="s">
        <v>714</v>
      </c>
      <c r="B417" s="1" t="s">
        <v>237</v>
      </c>
      <c r="C417" s="8">
        <v>45851</v>
      </c>
      <c r="D417" s="1" t="s">
        <v>153</v>
      </c>
      <c r="E417" s="1" t="s">
        <v>153</v>
      </c>
      <c r="F417" s="1" t="s">
        <v>34</v>
      </c>
      <c r="G417" s="1">
        <v>42</v>
      </c>
      <c r="H417" s="1" t="s">
        <v>57</v>
      </c>
      <c r="I417" s="1" t="s">
        <v>45</v>
      </c>
      <c r="J417" s="1" t="s">
        <v>146</v>
      </c>
      <c r="K417" s="14">
        <v>5</v>
      </c>
      <c r="L417" s="1">
        <v>163</v>
      </c>
      <c r="M417" s="1">
        <v>20</v>
      </c>
      <c r="N417" s="1">
        <f>Table1[[#This Row],[Discount]]/100</f>
        <v>0.2</v>
      </c>
      <c r="O417" s="1">
        <v>163</v>
      </c>
      <c r="P417" s="1">
        <v>652</v>
      </c>
      <c r="Q417" s="1">
        <v>101</v>
      </c>
      <c r="R417" s="1">
        <v>753</v>
      </c>
      <c r="S417" s="1" t="s">
        <v>28</v>
      </c>
      <c r="T417" s="1" t="s">
        <v>29</v>
      </c>
      <c r="U417" s="1" t="s">
        <v>30</v>
      </c>
      <c r="V417" s="11">
        <v>5</v>
      </c>
      <c r="W417" s="18">
        <v>4</v>
      </c>
    </row>
    <row r="418" spans="1:23" x14ac:dyDescent="0.25">
      <c r="A418" s="2" t="s">
        <v>715</v>
      </c>
      <c r="B418" s="1" t="s">
        <v>716</v>
      </c>
      <c r="C418" s="8">
        <v>45912</v>
      </c>
      <c r="D418" s="1" t="s">
        <v>23</v>
      </c>
      <c r="E418" s="1" t="s">
        <v>23</v>
      </c>
      <c r="F418" s="1" t="s">
        <v>24</v>
      </c>
      <c r="G418" s="1">
        <v>22</v>
      </c>
      <c r="H418" s="1" t="s">
        <v>35</v>
      </c>
      <c r="I418" s="1" t="s">
        <v>74</v>
      </c>
      <c r="J418" s="1" t="s">
        <v>97</v>
      </c>
      <c r="K418" s="14">
        <v>4</v>
      </c>
      <c r="L418" s="1">
        <v>5867</v>
      </c>
      <c r="M418" s="1">
        <v>10</v>
      </c>
      <c r="N418" s="1">
        <f>Table1[[#This Row],[Discount]]/100</f>
        <v>0.1</v>
      </c>
      <c r="O418" s="1">
        <v>2346.8000000000002</v>
      </c>
      <c r="P418" s="1">
        <v>21121.200000000001</v>
      </c>
      <c r="Q418" s="1">
        <v>71</v>
      </c>
      <c r="R418" s="1">
        <v>21192.2</v>
      </c>
      <c r="S418" s="1" t="s">
        <v>38</v>
      </c>
      <c r="T418" s="1" t="s">
        <v>118</v>
      </c>
      <c r="U418" s="1" t="s">
        <v>70</v>
      </c>
      <c r="W418" s="18"/>
    </row>
    <row r="419" spans="1:23" x14ac:dyDescent="0.25">
      <c r="A419" s="2" t="s">
        <v>717</v>
      </c>
      <c r="B419" s="1" t="s">
        <v>457</v>
      </c>
      <c r="C419" s="8">
        <v>45929</v>
      </c>
      <c r="D419" s="1" t="s">
        <v>153</v>
      </c>
      <c r="E419" s="1" t="s">
        <v>153</v>
      </c>
      <c r="F419" s="1" t="s">
        <v>34</v>
      </c>
      <c r="G419" s="1">
        <v>45</v>
      </c>
      <c r="H419" s="1" t="s">
        <v>69</v>
      </c>
      <c r="I419" s="1" t="s">
        <v>88</v>
      </c>
      <c r="J419" s="1" t="s">
        <v>117</v>
      </c>
      <c r="K419" s="14">
        <v>4</v>
      </c>
      <c r="L419" s="1">
        <v>1806</v>
      </c>
      <c r="M419" s="1">
        <v>10</v>
      </c>
      <c r="N419" s="1">
        <f>Table1[[#This Row],[Discount]]/100</f>
        <v>0.1</v>
      </c>
      <c r="O419" s="1">
        <v>722.4</v>
      </c>
      <c r="P419" s="1">
        <v>6501.6</v>
      </c>
      <c r="Q419" s="1">
        <v>165</v>
      </c>
      <c r="R419" s="1">
        <v>6666.6</v>
      </c>
      <c r="S419" s="1" t="s">
        <v>52</v>
      </c>
      <c r="T419" s="1" t="s">
        <v>118</v>
      </c>
      <c r="U419" s="1" t="s">
        <v>30</v>
      </c>
      <c r="V419" s="11">
        <v>4</v>
      </c>
      <c r="W419" s="18">
        <v>3.5</v>
      </c>
    </row>
    <row r="420" spans="1:23" x14ac:dyDescent="0.25">
      <c r="A420" s="2" t="s">
        <v>718</v>
      </c>
      <c r="B420" s="1" t="s">
        <v>378</v>
      </c>
      <c r="C420" s="8">
        <v>45750</v>
      </c>
      <c r="D420" s="1" t="s">
        <v>96</v>
      </c>
      <c r="E420" s="1" t="s">
        <v>96</v>
      </c>
      <c r="F420" s="1" t="s">
        <v>24</v>
      </c>
      <c r="G420" s="1">
        <v>58</v>
      </c>
      <c r="H420" s="1" t="s">
        <v>35</v>
      </c>
      <c r="I420" s="1" t="s">
        <v>36</v>
      </c>
      <c r="J420" s="1" t="s">
        <v>37</v>
      </c>
      <c r="K420" s="14">
        <v>3</v>
      </c>
      <c r="L420" s="1">
        <v>4621</v>
      </c>
      <c r="M420" s="1">
        <v>15</v>
      </c>
      <c r="N420" s="1">
        <f>Table1[[#This Row],[Discount]]/100</f>
        <v>0.15</v>
      </c>
      <c r="O420" s="1">
        <v>2079.4499999999998</v>
      </c>
      <c r="P420" s="1">
        <v>11783.55</v>
      </c>
      <c r="Q420" s="1">
        <v>160</v>
      </c>
      <c r="R420" s="1">
        <v>11943.55</v>
      </c>
      <c r="S420" s="1" t="s">
        <v>52</v>
      </c>
      <c r="T420" s="1" t="s">
        <v>118</v>
      </c>
      <c r="U420" s="1" t="s">
        <v>40</v>
      </c>
      <c r="V420" s="11">
        <v>1</v>
      </c>
      <c r="W420" s="18"/>
    </row>
    <row r="421" spans="1:23" x14ac:dyDescent="0.25">
      <c r="A421" s="2" t="s">
        <v>719</v>
      </c>
      <c r="B421" s="1" t="s">
        <v>509</v>
      </c>
      <c r="C421" s="8">
        <v>45894</v>
      </c>
      <c r="D421" s="1" t="s">
        <v>33</v>
      </c>
      <c r="E421" s="1" t="s">
        <v>33</v>
      </c>
      <c r="F421" s="1" t="s">
        <v>24</v>
      </c>
      <c r="G421" s="1">
        <v>33</v>
      </c>
      <c r="H421" s="1" t="s">
        <v>69</v>
      </c>
      <c r="I421" s="1" t="s">
        <v>36</v>
      </c>
      <c r="J421" s="1" t="s">
        <v>92</v>
      </c>
      <c r="K421" s="14">
        <v>3</v>
      </c>
      <c r="L421" s="1">
        <v>5534</v>
      </c>
      <c r="M421" s="1">
        <v>0</v>
      </c>
      <c r="N421" s="1">
        <f>Table1[[#This Row],[Discount]]/100</f>
        <v>0</v>
      </c>
      <c r="O421" s="1">
        <v>0</v>
      </c>
      <c r="P421" s="1">
        <v>16602</v>
      </c>
      <c r="Q421" s="1">
        <v>113</v>
      </c>
      <c r="R421" s="1">
        <v>16715</v>
      </c>
      <c r="S421" s="1" t="s">
        <v>93</v>
      </c>
      <c r="T421" s="1" t="s">
        <v>118</v>
      </c>
      <c r="U421" s="1" t="s">
        <v>30</v>
      </c>
      <c r="V421" s="11">
        <v>2</v>
      </c>
      <c r="W421" s="18">
        <v>3.5</v>
      </c>
    </row>
    <row r="422" spans="1:23" x14ac:dyDescent="0.25">
      <c r="A422" s="2" t="s">
        <v>720</v>
      </c>
      <c r="B422" s="1" t="s">
        <v>566</v>
      </c>
      <c r="C422" s="8">
        <v>45734</v>
      </c>
      <c r="D422" s="1" t="s">
        <v>83</v>
      </c>
      <c r="E422" s="1" t="s">
        <v>83</v>
      </c>
      <c r="F422" s="1" t="s">
        <v>44</v>
      </c>
      <c r="G422" s="1">
        <v>19</v>
      </c>
      <c r="H422" s="1" t="s">
        <v>57</v>
      </c>
      <c r="I422" s="1" t="s">
        <v>26</v>
      </c>
      <c r="J422" s="1" t="s">
        <v>51</v>
      </c>
      <c r="K422" s="14">
        <v>4</v>
      </c>
      <c r="L422" s="1">
        <v>35787</v>
      </c>
      <c r="M422" s="1">
        <v>5</v>
      </c>
      <c r="N422" s="1">
        <f>Table1[[#This Row],[Discount]]/100</f>
        <v>0.05</v>
      </c>
      <c r="O422" s="1">
        <v>7157.4</v>
      </c>
      <c r="P422" s="1">
        <v>135990.6</v>
      </c>
      <c r="Q422" s="1">
        <v>49</v>
      </c>
      <c r="R422" s="1">
        <v>136039.6</v>
      </c>
      <c r="S422" s="1" t="s">
        <v>93</v>
      </c>
      <c r="T422" s="1" t="s">
        <v>29</v>
      </c>
      <c r="U422" s="1" t="s">
        <v>30</v>
      </c>
      <c r="V422" s="11">
        <v>2</v>
      </c>
      <c r="W422" s="18">
        <v>3.5</v>
      </c>
    </row>
    <row r="423" spans="1:23" x14ac:dyDescent="0.25">
      <c r="A423" s="2" t="s">
        <v>721</v>
      </c>
      <c r="B423" s="1" t="s">
        <v>301</v>
      </c>
      <c r="C423" s="8">
        <v>45987</v>
      </c>
      <c r="D423" s="1" t="s">
        <v>96</v>
      </c>
      <c r="E423" s="1" t="s">
        <v>96</v>
      </c>
      <c r="F423" s="1" t="s">
        <v>24</v>
      </c>
      <c r="G423" s="1">
        <v>20</v>
      </c>
      <c r="H423" s="1" t="s">
        <v>57</v>
      </c>
      <c r="I423" s="1" t="s">
        <v>45</v>
      </c>
      <c r="J423" s="1" t="s">
        <v>46</v>
      </c>
      <c r="K423" s="14">
        <v>2</v>
      </c>
      <c r="L423" s="1">
        <v>199</v>
      </c>
      <c r="M423" s="1">
        <v>10</v>
      </c>
      <c r="N423" s="1">
        <f>Table1[[#This Row],[Discount]]/100</f>
        <v>0.1</v>
      </c>
      <c r="O423" s="1">
        <v>39.799999999999997</v>
      </c>
      <c r="P423" s="1">
        <v>358.2</v>
      </c>
      <c r="Q423" s="1">
        <v>65</v>
      </c>
      <c r="R423" s="1">
        <v>423.2</v>
      </c>
      <c r="S423" s="1" t="s">
        <v>28</v>
      </c>
      <c r="T423" s="1" t="s">
        <v>39</v>
      </c>
      <c r="U423" s="1" t="s">
        <v>40</v>
      </c>
      <c r="V423" s="11">
        <v>7</v>
      </c>
      <c r="W423" s="18"/>
    </row>
    <row r="424" spans="1:23" x14ac:dyDescent="0.25">
      <c r="A424" s="2" t="s">
        <v>722</v>
      </c>
      <c r="B424" s="1" t="s">
        <v>462</v>
      </c>
      <c r="C424" s="8">
        <v>45729</v>
      </c>
      <c r="D424" s="1" t="s">
        <v>87</v>
      </c>
      <c r="E424" s="1" t="s">
        <v>87</v>
      </c>
      <c r="F424" s="1" t="s">
        <v>24</v>
      </c>
      <c r="G424" s="1">
        <v>25</v>
      </c>
      <c r="H424" s="1" t="s">
        <v>50</v>
      </c>
      <c r="I424" s="1" t="s">
        <v>26</v>
      </c>
      <c r="J424" s="1" t="s">
        <v>198</v>
      </c>
      <c r="K424" s="14">
        <v>5</v>
      </c>
      <c r="L424" s="1">
        <v>39856</v>
      </c>
      <c r="M424" s="1">
        <v>0</v>
      </c>
      <c r="N424" s="1">
        <f>Table1[[#This Row],[Discount]]/100</f>
        <v>0</v>
      </c>
      <c r="O424" s="1">
        <v>0</v>
      </c>
      <c r="P424" s="1">
        <v>199280</v>
      </c>
      <c r="Q424" s="1">
        <v>234</v>
      </c>
      <c r="R424" s="1">
        <v>199514</v>
      </c>
      <c r="S424" s="1" t="s">
        <v>52</v>
      </c>
      <c r="T424" s="1" t="s">
        <v>29</v>
      </c>
      <c r="U424" s="1" t="s">
        <v>30</v>
      </c>
      <c r="V424" s="11">
        <v>2</v>
      </c>
      <c r="W424" s="18">
        <v>4.5</v>
      </c>
    </row>
    <row r="425" spans="1:23" x14ac:dyDescent="0.25">
      <c r="A425" s="2" t="s">
        <v>723</v>
      </c>
      <c r="B425" s="1" t="s">
        <v>419</v>
      </c>
      <c r="C425" s="8">
        <v>45857</v>
      </c>
      <c r="D425" s="1" t="s">
        <v>87</v>
      </c>
      <c r="E425" s="1" t="s">
        <v>87</v>
      </c>
      <c r="F425" s="1" t="s">
        <v>34</v>
      </c>
      <c r="G425" s="1">
        <v>33</v>
      </c>
      <c r="H425" s="1" t="s">
        <v>50</v>
      </c>
      <c r="I425" s="1" t="s">
        <v>58</v>
      </c>
      <c r="J425" s="1" t="s">
        <v>114</v>
      </c>
      <c r="K425" s="14">
        <v>3</v>
      </c>
      <c r="L425" s="1">
        <v>3316</v>
      </c>
      <c r="M425" s="1">
        <v>10</v>
      </c>
      <c r="N425" s="1">
        <f>Table1[[#This Row],[Discount]]/100</f>
        <v>0.1</v>
      </c>
      <c r="O425" s="1">
        <v>994.8</v>
      </c>
      <c r="P425" s="1">
        <v>8953.2000000000007</v>
      </c>
      <c r="Q425" s="1">
        <v>169</v>
      </c>
      <c r="R425" s="1">
        <v>9122.2000000000007</v>
      </c>
      <c r="S425" s="1" t="s">
        <v>47</v>
      </c>
      <c r="T425" s="1" t="s">
        <v>39</v>
      </c>
      <c r="U425" s="1" t="s">
        <v>30</v>
      </c>
      <c r="V425" s="11">
        <v>7</v>
      </c>
      <c r="W425" s="18">
        <v>4</v>
      </c>
    </row>
    <row r="426" spans="1:23" x14ac:dyDescent="0.25">
      <c r="A426" s="2" t="s">
        <v>724</v>
      </c>
      <c r="B426" s="1" t="s">
        <v>668</v>
      </c>
      <c r="C426" s="8">
        <v>46007</v>
      </c>
      <c r="D426" s="1" t="s">
        <v>110</v>
      </c>
      <c r="E426" s="1" t="s">
        <v>110</v>
      </c>
      <c r="F426" s="1" t="s">
        <v>44</v>
      </c>
      <c r="G426" s="1">
        <v>35</v>
      </c>
      <c r="H426" s="1" t="s">
        <v>69</v>
      </c>
      <c r="I426" s="1" t="s">
        <v>45</v>
      </c>
      <c r="J426" s="1" t="s">
        <v>146</v>
      </c>
      <c r="K426" s="14">
        <v>3</v>
      </c>
      <c r="L426" s="1">
        <v>1614</v>
      </c>
      <c r="M426" s="1">
        <v>10</v>
      </c>
      <c r="N426" s="1">
        <f>Table1[[#This Row],[Discount]]/100</f>
        <v>0.1</v>
      </c>
      <c r="O426" s="1">
        <v>484.2</v>
      </c>
      <c r="P426" s="1">
        <v>4357.8</v>
      </c>
      <c r="Q426" s="1">
        <v>141</v>
      </c>
      <c r="R426" s="1">
        <v>4498.8</v>
      </c>
      <c r="S426" s="1" t="s">
        <v>38</v>
      </c>
      <c r="T426" s="1" t="s">
        <v>39</v>
      </c>
      <c r="U426" s="1" t="s">
        <v>30</v>
      </c>
      <c r="V426" s="11">
        <v>2</v>
      </c>
      <c r="W426" s="18">
        <v>3.5</v>
      </c>
    </row>
    <row r="427" spans="1:23" x14ac:dyDescent="0.25">
      <c r="A427" s="2" t="s">
        <v>725</v>
      </c>
      <c r="B427" s="1" t="s">
        <v>726</v>
      </c>
      <c r="C427" s="8">
        <v>46008</v>
      </c>
      <c r="D427" s="1" t="s">
        <v>23</v>
      </c>
      <c r="E427" s="1" t="s">
        <v>23</v>
      </c>
      <c r="F427" s="1" t="s">
        <v>44</v>
      </c>
      <c r="G427" s="1">
        <v>52</v>
      </c>
      <c r="H427" s="1" t="s">
        <v>57</v>
      </c>
      <c r="I427" s="1" t="s">
        <v>58</v>
      </c>
      <c r="J427" s="1" t="s">
        <v>104</v>
      </c>
      <c r="K427" s="14">
        <v>1</v>
      </c>
      <c r="L427" s="1">
        <v>1416</v>
      </c>
      <c r="M427" s="1">
        <v>25</v>
      </c>
      <c r="N427" s="1">
        <f>Table1[[#This Row],[Discount]]/100</f>
        <v>0.25</v>
      </c>
      <c r="O427" s="1">
        <v>354</v>
      </c>
      <c r="P427" s="1">
        <v>1062</v>
      </c>
      <c r="Q427" s="1">
        <v>227</v>
      </c>
      <c r="R427" s="1">
        <v>1289</v>
      </c>
      <c r="S427" s="1" t="s">
        <v>28</v>
      </c>
      <c r="T427" s="1" t="s">
        <v>118</v>
      </c>
      <c r="U427" s="1" t="s">
        <v>30</v>
      </c>
      <c r="V427" s="11">
        <v>1</v>
      </c>
      <c r="W427" s="18">
        <v>3.5</v>
      </c>
    </row>
    <row r="428" spans="1:23" x14ac:dyDescent="0.25">
      <c r="A428" s="2" t="s">
        <v>727</v>
      </c>
      <c r="B428" s="1" t="s">
        <v>124</v>
      </c>
      <c r="C428" s="8">
        <v>45987</v>
      </c>
      <c r="D428" s="1" t="s">
        <v>107</v>
      </c>
      <c r="E428" s="1" t="s">
        <v>107</v>
      </c>
      <c r="F428" s="1" t="s">
        <v>34</v>
      </c>
      <c r="G428" s="1">
        <v>20</v>
      </c>
      <c r="H428" s="1" t="s">
        <v>57</v>
      </c>
      <c r="I428" s="1" t="s">
        <v>88</v>
      </c>
      <c r="J428" s="1" t="s">
        <v>207</v>
      </c>
      <c r="K428" s="14">
        <v>1</v>
      </c>
      <c r="L428" s="1">
        <v>3746</v>
      </c>
      <c r="M428" s="1">
        <v>25</v>
      </c>
      <c r="N428" s="1">
        <f>Table1[[#This Row],[Discount]]/100</f>
        <v>0.25</v>
      </c>
      <c r="O428" s="1">
        <v>936.5</v>
      </c>
      <c r="P428" s="1">
        <v>2809.5</v>
      </c>
      <c r="Q428" s="1">
        <v>227</v>
      </c>
      <c r="R428" s="1">
        <v>3036.5</v>
      </c>
      <c r="S428" s="1" t="s">
        <v>93</v>
      </c>
      <c r="T428" s="1" t="s">
        <v>29</v>
      </c>
      <c r="U428" s="1" t="s">
        <v>30</v>
      </c>
      <c r="V428" s="11">
        <v>4</v>
      </c>
      <c r="W428" s="18">
        <v>4</v>
      </c>
    </row>
    <row r="429" spans="1:23" x14ac:dyDescent="0.25">
      <c r="A429" s="2" t="s">
        <v>728</v>
      </c>
      <c r="B429" s="1" t="s">
        <v>268</v>
      </c>
      <c r="C429" s="8">
        <v>45825</v>
      </c>
      <c r="D429" s="1" t="s">
        <v>96</v>
      </c>
      <c r="E429" s="1" t="s">
        <v>96</v>
      </c>
      <c r="F429" s="1" t="s">
        <v>34</v>
      </c>
      <c r="G429" s="1">
        <v>19</v>
      </c>
      <c r="H429" s="1" t="s">
        <v>35</v>
      </c>
      <c r="I429" s="1" t="s">
        <v>88</v>
      </c>
      <c r="J429" s="1" t="s">
        <v>162</v>
      </c>
      <c r="K429" s="14">
        <v>1</v>
      </c>
      <c r="L429" s="1">
        <v>8595</v>
      </c>
      <c r="M429" s="1">
        <v>20</v>
      </c>
      <c r="N429" s="1">
        <f>Table1[[#This Row],[Discount]]/100</f>
        <v>0.2</v>
      </c>
      <c r="O429" s="1">
        <v>1719</v>
      </c>
      <c r="P429" s="1">
        <v>6876</v>
      </c>
      <c r="Q429" s="1">
        <v>160</v>
      </c>
      <c r="R429" s="1">
        <v>7036</v>
      </c>
      <c r="S429" s="1" t="s">
        <v>66</v>
      </c>
      <c r="T429" s="1" t="s">
        <v>118</v>
      </c>
      <c r="U429" s="1" t="s">
        <v>40</v>
      </c>
      <c r="V429" s="11">
        <v>4</v>
      </c>
      <c r="W429" s="18"/>
    </row>
    <row r="430" spans="1:23" x14ac:dyDescent="0.25">
      <c r="A430" s="2" t="s">
        <v>729</v>
      </c>
      <c r="B430" s="1" t="s">
        <v>222</v>
      </c>
      <c r="C430" s="8">
        <v>45990</v>
      </c>
      <c r="D430" s="1" t="s">
        <v>140</v>
      </c>
      <c r="E430" s="1" t="s">
        <v>141</v>
      </c>
      <c r="F430" s="1" t="s">
        <v>44</v>
      </c>
      <c r="G430" s="1">
        <v>26</v>
      </c>
      <c r="H430" s="1" t="s">
        <v>69</v>
      </c>
      <c r="I430" s="1" t="s">
        <v>36</v>
      </c>
      <c r="J430" s="1" t="s">
        <v>159</v>
      </c>
      <c r="K430" s="14">
        <v>1</v>
      </c>
      <c r="L430" s="1">
        <v>1073</v>
      </c>
      <c r="M430" s="1">
        <v>0</v>
      </c>
      <c r="N430" s="1">
        <f>Table1[[#This Row],[Discount]]/100</f>
        <v>0</v>
      </c>
      <c r="O430" s="1">
        <v>0</v>
      </c>
      <c r="P430" s="1">
        <v>1073</v>
      </c>
      <c r="Q430" s="1">
        <v>152</v>
      </c>
      <c r="R430" s="1">
        <v>1225</v>
      </c>
      <c r="S430" s="1" t="s">
        <v>93</v>
      </c>
      <c r="T430" s="1" t="s">
        <v>118</v>
      </c>
      <c r="U430" s="1" t="s">
        <v>30</v>
      </c>
      <c r="V430" s="11">
        <v>7</v>
      </c>
      <c r="W430" s="18">
        <v>4.5</v>
      </c>
    </row>
    <row r="431" spans="1:23" x14ac:dyDescent="0.25">
      <c r="A431" s="2" t="s">
        <v>730</v>
      </c>
      <c r="B431" s="1" t="s">
        <v>331</v>
      </c>
      <c r="C431" s="8">
        <v>45851</v>
      </c>
      <c r="D431" s="1" t="s">
        <v>87</v>
      </c>
      <c r="E431" s="1" t="s">
        <v>87</v>
      </c>
      <c r="F431" s="1" t="s">
        <v>34</v>
      </c>
      <c r="G431" s="1">
        <v>54</v>
      </c>
      <c r="H431" s="1" t="s">
        <v>25</v>
      </c>
      <c r="I431" s="1" t="s">
        <v>36</v>
      </c>
      <c r="J431" s="1" t="s">
        <v>159</v>
      </c>
      <c r="K431" s="14">
        <v>3</v>
      </c>
      <c r="L431" s="1">
        <v>1091</v>
      </c>
      <c r="M431" s="1">
        <v>15</v>
      </c>
      <c r="N431" s="1">
        <f>Table1[[#This Row],[Discount]]/100</f>
        <v>0.15</v>
      </c>
      <c r="O431" s="1">
        <v>490.95</v>
      </c>
      <c r="P431" s="1">
        <v>2782.05</v>
      </c>
      <c r="Q431" s="1">
        <v>120</v>
      </c>
      <c r="R431" s="1">
        <v>2902.05</v>
      </c>
      <c r="S431" s="1" t="s">
        <v>66</v>
      </c>
      <c r="T431" s="1" t="s">
        <v>29</v>
      </c>
      <c r="U431" s="1" t="s">
        <v>30</v>
      </c>
      <c r="V431" s="11">
        <v>7</v>
      </c>
      <c r="W431" s="18">
        <v>3.5</v>
      </c>
    </row>
    <row r="432" spans="1:23" x14ac:dyDescent="0.25">
      <c r="A432" s="2" t="s">
        <v>731</v>
      </c>
      <c r="B432" s="1" t="s">
        <v>169</v>
      </c>
      <c r="C432" s="8">
        <v>45703</v>
      </c>
      <c r="D432" s="1" t="s">
        <v>23</v>
      </c>
      <c r="E432" s="1" t="s">
        <v>23</v>
      </c>
      <c r="F432" s="1" t="s">
        <v>34</v>
      </c>
      <c r="G432" s="1">
        <v>28</v>
      </c>
      <c r="H432" s="1" t="s">
        <v>25</v>
      </c>
      <c r="I432" s="1" t="s">
        <v>74</v>
      </c>
      <c r="J432" s="1" t="s">
        <v>137</v>
      </c>
      <c r="K432" s="14">
        <v>4</v>
      </c>
      <c r="L432" s="1">
        <v>2544</v>
      </c>
      <c r="M432" s="1">
        <v>15</v>
      </c>
      <c r="N432" s="1">
        <f>Table1[[#This Row],[Discount]]/100</f>
        <v>0.15</v>
      </c>
      <c r="O432" s="1">
        <v>1526.4</v>
      </c>
      <c r="P432" s="1">
        <v>8649.6</v>
      </c>
      <c r="Q432" s="1">
        <v>58</v>
      </c>
      <c r="R432" s="1">
        <v>8707.6</v>
      </c>
      <c r="S432" s="1" t="s">
        <v>93</v>
      </c>
      <c r="T432" s="1" t="s">
        <v>118</v>
      </c>
      <c r="U432" s="1" t="s">
        <v>30</v>
      </c>
      <c r="V432" s="11">
        <v>3</v>
      </c>
      <c r="W432" s="18">
        <v>4.5</v>
      </c>
    </row>
    <row r="433" spans="1:23" x14ac:dyDescent="0.25">
      <c r="A433" s="2" t="s">
        <v>732</v>
      </c>
      <c r="B433" s="1" t="s">
        <v>733</v>
      </c>
      <c r="C433" s="8">
        <v>45763</v>
      </c>
      <c r="D433" s="1" t="s">
        <v>87</v>
      </c>
      <c r="E433" s="1" t="s">
        <v>87</v>
      </c>
      <c r="F433" s="1" t="s">
        <v>24</v>
      </c>
      <c r="G433" s="1">
        <v>31</v>
      </c>
      <c r="H433" s="1" t="s">
        <v>35</v>
      </c>
      <c r="I433" s="1" t="s">
        <v>36</v>
      </c>
      <c r="J433" s="1" t="s">
        <v>92</v>
      </c>
      <c r="K433" s="14">
        <v>1</v>
      </c>
      <c r="L433" s="1">
        <v>6514</v>
      </c>
      <c r="M433" s="1">
        <v>15</v>
      </c>
      <c r="N433" s="1">
        <f>Table1[[#This Row],[Discount]]/100</f>
        <v>0.15</v>
      </c>
      <c r="O433" s="1">
        <v>977.1</v>
      </c>
      <c r="P433" s="1">
        <v>5536.9</v>
      </c>
      <c r="Q433" s="1">
        <v>130</v>
      </c>
      <c r="R433" s="1">
        <v>5666.9</v>
      </c>
      <c r="S433" s="1" t="s">
        <v>93</v>
      </c>
      <c r="T433" s="1" t="s">
        <v>39</v>
      </c>
      <c r="U433" s="1" t="s">
        <v>30</v>
      </c>
      <c r="V433" s="11">
        <v>5</v>
      </c>
      <c r="W433" s="18">
        <v>4</v>
      </c>
    </row>
    <row r="434" spans="1:23" x14ac:dyDescent="0.25">
      <c r="A434" s="2" t="s">
        <v>734</v>
      </c>
      <c r="B434" s="1" t="s">
        <v>275</v>
      </c>
      <c r="C434" s="8">
        <v>45663</v>
      </c>
      <c r="D434" s="1" t="s">
        <v>96</v>
      </c>
      <c r="E434" s="1" t="s">
        <v>96</v>
      </c>
      <c r="F434" s="1" t="s">
        <v>44</v>
      </c>
      <c r="G434" s="1">
        <v>26</v>
      </c>
      <c r="H434" s="1" t="s">
        <v>57</v>
      </c>
      <c r="I434" s="1" t="s">
        <v>74</v>
      </c>
      <c r="J434" s="1" t="s">
        <v>137</v>
      </c>
      <c r="K434" s="14">
        <v>3</v>
      </c>
      <c r="L434" s="1">
        <v>2329</v>
      </c>
      <c r="M434" s="1">
        <v>25</v>
      </c>
      <c r="N434" s="1">
        <f>Table1[[#This Row],[Discount]]/100</f>
        <v>0.25</v>
      </c>
      <c r="O434" s="1">
        <v>1746.75</v>
      </c>
      <c r="P434" s="1">
        <v>5240.25</v>
      </c>
      <c r="Q434" s="1">
        <v>41</v>
      </c>
      <c r="R434" s="1">
        <v>5281.25</v>
      </c>
      <c r="S434" s="1" t="s">
        <v>66</v>
      </c>
      <c r="T434" s="1" t="s">
        <v>39</v>
      </c>
      <c r="U434" s="1" t="s">
        <v>40</v>
      </c>
      <c r="V434" s="11">
        <v>4</v>
      </c>
      <c r="W434" s="18"/>
    </row>
    <row r="435" spans="1:23" x14ac:dyDescent="0.25">
      <c r="A435" s="2" t="s">
        <v>735</v>
      </c>
      <c r="B435" s="1" t="s">
        <v>736</v>
      </c>
      <c r="C435" s="8">
        <v>45839</v>
      </c>
      <c r="D435" s="1" t="s">
        <v>102</v>
      </c>
      <c r="E435" s="1" t="s">
        <v>103</v>
      </c>
      <c r="F435" s="1" t="s">
        <v>24</v>
      </c>
      <c r="G435" s="1">
        <v>60</v>
      </c>
      <c r="H435" s="1" t="s">
        <v>50</v>
      </c>
      <c r="I435" s="1" t="s">
        <v>45</v>
      </c>
      <c r="J435" s="1" t="s">
        <v>146</v>
      </c>
      <c r="K435" s="14">
        <v>5</v>
      </c>
      <c r="L435" s="1">
        <v>2361</v>
      </c>
      <c r="M435" s="1">
        <v>10</v>
      </c>
      <c r="N435" s="1">
        <f>Table1[[#This Row],[Discount]]/100</f>
        <v>0.1</v>
      </c>
      <c r="O435" s="1">
        <v>1180.5</v>
      </c>
      <c r="P435" s="1">
        <v>10624.5</v>
      </c>
      <c r="Q435" s="1">
        <v>140</v>
      </c>
      <c r="R435" s="1">
        <v>10764.5</v>
      </c>
      <c r="S435" s="1" t="s">
        <v>28</v>
      </c>
      <c r="T435" s="1" t="s">
        <v>118</v>
      </c>
      <c r="U435" s="1" t="s">
        <v>70</v>
      </c>
      <c r="W435" s="18"/>
    </row>
    <row r="436" spans="1:23" x14ac:dyDescent="0.25">
      <c r="A436" s="2" t="s">
        <v>737</v>
      </c>
      <c r="B436" s="1" t="s">
        <v>72</v>
      </c>
      <c r="C436" s="8">
        <v>45744</v>
      </c>
      <c r="D436" s="1" t="s">
        <v>120</v>
      </c>
      <c r="E436" s="1" t="s">
        <v>120</v>
      </c>
      <c r="F436" s="1" t="s">
        <v>44</v>
      </c>
      <c r="G436" s="1">
        <v>49</v>
      </c>
      <c r="H436" s="1" t="s">
        <v>35</v>
      </c>
      <c r="I436" s="1" t="s">
        <v>58</v>
      </c>
      <c r="J436" s="1" t="s">
        <v>65</v>
      </c>
      <c r="K436" s="14">
        <v>3</v>
      </c>
      <c r="L436" s="1">
        <v>3804</v>
      </c>
      <c r="M436" s="1">
        <v>0</v>
      </c>
      <c r="N436" s="1">
        <f>Table1[[#This Row],[Discount]]/100</f>
        <v>0</v>
      </c>
      <c r="O436" s="1">
        <v>0</v>
      </c>
      <c r="P436" s="1">
        <v>11412</v>
      </c>
      <c r="Q436" s="1">
        <v>86</v>
      </c>
      <c r="R436" s="1">
        <v>11498</v>
      </c>
      <c r="S436" s="1" t="s">
        <v>28</v>
      </c>
      <c r="T436" s="1" t="s">
        <v>118</v>
      </c>
      <c r="U436" s="1" t="s">
        <v>30</v>
      </c>
      <c r="V436" s="11">
        <v>5</v>
      </c>
      <c r="W436" s="18">
        <v>4</v>
      </c>
    </row>
    <row r="437" spans="1:23" x14ac:dyDescent="0.25">
      <c r="A437" s="2" t="s">
        <v>738</v>
      </c>
      <c r="B437" s="1" t="s">
        <v>487</v>
      </c>
      <c r="C437" s="8">
        <v>45802</v>
      </c>
      <c r="D437" s="1" t="s">
        <v>102</v>
      </c>
      <c r="E437" s="1" t="s">
        <v>103</v>
      </c>
      <c r="F437" s="1" t="s">
        <v>44</v>
      </c>
      <c r="G437" s="1">
        <v>57</v>
      </c>
      <c r="H437" s="1" t="s">
        <v>25</v>
      </c>
      <c r="I437" s="1" t="s">
        <v>58</v>
      </c>
      <c r="J437" s="1" t="s">
        <v>65</v>
      </c>
      <c r="K437" s="14">
        <v>2</v>
      </c>
      <c r="L437" s="1">
        <v>673</v>
      </c>
      <c r="M437" s="1">
        <v>10</v>
      </c>
      <c r="N437" s="1">
        <f>Table1[[#This Row],[Discount]]/100</f>
        <v>0.1</v>
      </c>
      <c r="O437" s="1">
        <v>134.6</v>
      </c>
      <c r="P437" s="1">
        <v>1211.4000000000001</v>
      </c>
      <c r="Q437" s="1">
        <v>130</v>
      </c>
      <c r="R437" s="1">
        <v>1341.4</v>
      </c>
      <c r="S437" s="1" t="s">
        <v>38</v>
      </c>
      <c r="T437" s="1" t="s">
        <v>118</v>
      </c>
      <c r="U437" s="1" t="s">
        <v>40</v>
      </c>
      <c r="V437" s="11">
        <v>3</v>
      </c>
      <c r="W437" s="18"/>
    </row>
    <row r="438" spans="1:23" x14ac:dyDescent="0.25">
      <c r="A438" s="2" t="s">
        <v>739</v>
      </c>
      <c r="B438" s="1" t="s">
        <v>183</v>
      </c>
      <c r="C438" s="8">
        <v>45898</v>
      </c>
      <c r="D438" s="1" t="s">
        <v>107</v>
      </c>
      <c r="E438" s="1" t="s">
        <v>107</v>
      </c>
      <c r="F438" s="1" t="s">
        <v>44</v>
      </c>
      <c r="G438" s="1">
        <v>28</v>
      </c>
      <c r="H438" s="1" t="s">
        <v>50</v>
      </c>
      <c r="I438" s="1" t="s">
        <v>74</v>
      </c>
      <c r="J438" s="1" t="s">
        <v>97</v>
      </c>
      <c r="K438" s="14">
        <v>4</v>
      </c>
      <c r="L438" s="1">
        <v>4952</v>
      </c>
      <c r="M438" s="1">
        <v>0</v>
      </c>
      <c r="N438" s="1">
        <f>Table1[[#This Row],[Discount]]/100</f>
        <v>0</v>
      </c>
      <c r="O438" s="1">
        <v>0</v>
      </c>
      <c r="P438" s="1">
        <v>19808</v>
      </c>
      <c r="Q438" s="1">
        <v>29</v>
      </c>
      <c r="R438" s="1">
        <v>19837</v>
      </c>
      <c r="S438" s="1" t="s">
        <v>93</v>
      </c>
      <c r="T438" s="1" t="s">
        <v>39</v>
      </c>
      <c r="U438" s="1" t="s">
        <v>30</v>
      </c>
      <c r="V438" s="11">
        <v>3</v>
      </c>
      <c r="W438" s="18">
        <v>5</v>
      </c>
    </row>
    <row r="439" spans="1:23" x14ac:dyDescent="0.25">
      <c r="A439" s="2" t="s">
        <v>740</v>
      </c>
      <c r="B439" s="1" t="s">
        <v>475</v>
      </c>
      <c r="C439" s="8">
        <v>45750</v>
      </c>
      <c r="D439" s="1" t="s">
        <v>78</v>
      </c>
      <c r="E439" s="1" t="s">
        <v>78</v>
      </c>
      <c r="F439" s="1" t="s">
        <v>44</v>
      </c>
      <c r="G439" s="1">
        <v>28</v>
      </c>
      <c r="H439" s="1" t="s">
        <v>25</v>
      </c>
      <c r="I439" s="1" t="s">
        <v>88</v>
      </c>
      <c r="J439" s="1" t="s">
        <v>117</v>
      </c>
      <c r="K439" s="14">
        <v>4</v>
      </c>
      <c r="L439" s="1">
        <v>2143</v>
      </c>
      <c r="M439" s="1">
        <v>0</v>
      </c>
      <c r="N439" s="1">
        <f>Table1[[#This Row],[Discount]]/100</f>
        <v>0</v>
      </c>
      <c r="O439" s="1">
        <v>0</v>
      </c>
      <c r="P439" s="1">
        <v>8572</v>
      </c>
      <c r="Q439" s="1">
        <v>92</v>
      </c>
      <c r="R439" s="1">
        <v>8664</v>
      </c>
      <c r="S439" s="1" t="s">
        <v>66</v>
      </c>
      <c r="T439" s="1" t="s">
        <v>29</v>
      </c>
      <c r="U439" s="1" t="s">
        <v>30</v>
      </c>
      <c r="V439" s="11">
        <v>7</v>
      </c>
      <c r="W439" s="18">
        <v>5</v>
      </c>
    </row>
    <row r="440" spans="1:23" x14ac:dyDescent="0.25">
      <c r="A440" s="2" t="s">
        <v>741</v>
      </c>
      <c r="B440" s="1" t="s">
        <v>305</v>
      </c>
      <c r="C440" s="8">
        <v>45671</v>
      </c>
      <c r="D440" s="1" t="s">
        <v>33</v>
      </c>
      <c r="E440" s="1" t="s">
        <v>33</v>
      </c>
      <c r="F440" s="1" t="s">
        <v>24</v>
      </c>
      <c r="G440" s="1">
        <v>25</v>
      </c>
      <c r="H440" s="1" t="s">
        <v>50</v>
      </c>
      <c r="I440" s="1" t="s">
        <v>58</v>
      </c>
      <c r="J440" s="1" t="s">
        <v>104</v>
      </c>
      <c r="K440" s="14">
        <v>5</v>
      </c>
      <c r="L440" s="1">
        <v>3296</v>
      </c>
      <c r="M440" s="1">
        <v>25</v>
      </c>
      <c r="N440" s="1">
        <f>Table1[[#This Row],[Discount]]/100</f>
        <v>0.25</v>
      </c>
      <c r="O440" s="1">
        <v>4120</v>
      </c>
      <c r="P440" s="1">
        <v>12360</v>
      </c>
      <c r="Q440" s="1">
        <v>104</v>
      </c>
      <c r="R440" s="1">
        <v>12464</v>
      </c>
      <c r="S440" s="1" t="s">
        <v>38</v>
      </c>
      <c r="T440" s="1" t="s">
        <v>39</v>
      </c>
      <c r="U440" s="1" t="s">
        <v>30</v>
      </c>
      <c r="V440" s="11">
        <v>3</v>
      </c>
      <c r="W440" s="18">
        <v>4</v>
      </c>
    </row>
    <row r="441" spans="1:23" x14ac:dyDescent="0.25">
      <c r="A441" s="2" t="s">
        <v>742</v>
      </c>
      <c r="B441" s="1" t="s">
        <v>226</v>
      </c>
      <c r="C441" s="8">
        <v>45824</v>
      </c>
      <c r="D441" s="1" t="s">
        <v>153</v>
      </c>
      <c r="E441" s="1" t="s">
        <v>153</v>
      </c>
      <c r="F441" s="1" t="s">
        <v>34</v>
      </c>
      <c r="G441" s="1">
        <v>54</v>
      </c>
      <c r="H441" s="1" t="s">
        <v>50</v>
      </c>
      <c r="I441" s="1" t="s">
        <v>26</v>
      </c>
      <c r="J441" s="1" t="s">
        <v>283</v>
      </c>
      <c r="K441" s="14">
        <v>4</v>
      </c>
      <c r="L441" s="1">
        <v>60313</v>
      </c>
      <c r="M441" s="1">
        <v>25</v>
      </c>
      <c r="N441" s="1">
        <f>Table1[[#This Row],[Discount]]/100</f>
        <v>0.25</v>
      </c>
      <c r="O441" s="1">
        <v>60313</v>
      </c>
      <c r="P441" s="1">
        <v>180939</v>
      </c>
      <c r="Q441" s="1">
        <v>135</v>
      </c>
      <c r="R441" s="1">
        <v>181074</v>
      </c>
      <c r="S441" s="1" t="s">
        <v>66</v>
      </c>
      <c r="T441" s="1" t="s">
        <v>118</v>
      </c>
      <c r="U441" s="1" t="s">
        <v>40</v>
      </c>
      <c r="V441" s="11">
        <v>6</v>
      </c>
      <c r="W441" s="18"/>
    </row>
    <row r="442" spans="1:23" x14ac:dyDescent="0.25">
      <c r="A442" s="2" t="s">
        <v>743</v>
      </c>
      <c r="B442" s="1" t="s">
        <v>109</v>
      </c>
      <c r="C442" s="8">
        <v>45764</v>
      </c>
      <c r="D442" s="1" t="s">
        <v>83</v>
      </c>
      <c r="E442" s="1" t="s">
        <v>83</v>
      </c>
      <c r="F442" s="1" t="s">
        <v>24</v>
      </c>
      <c r="G442" s="1">
        <v>42</v>
      </c>
      <c r="H442" s="1" t="s">
        <v>35</v>
      </c>
      <c r="I442" s="1" t="s">
        <v>26</v>
      </c>
      <c r="J442" s="1" t="s">
        <v>27</v>
      </c>
      <c r="K442" s="14">
        <v>5</v>
      </c>
      <c r="L442" s="1">
        <v>50789</v>
      </c>
      <c r="M442" s="1">
        <v>15</v>
      </c>
      <c r="N442" s="1">
        <f>Table1[[#This Row],[Discount]]/100</f>
        <v>0.15</v>
      </c>
      <c r="O442" s="1">
        <v>38091.75</v>
      </c>
      <c r="P442" s="1">
        <v>215853.25</v>
      </c>
      <c r="Q442" s="1">
        <v>238</v>
      </c>
      <c r="R442" s="1">
        <v>216091.25</v>
      </c>
      <c r="S442" s="1" t="s">
        <v>28</v>
      </c>
      <c r="T442" s="1" t="s">
        <v>118</v>
      </c>
      <c r="U442" s="1" t="s">
        <v>30</v>
      </c>
      <c r="V442" s="11">
        <v>2</v>
      </c>
      <c r="W442" s="18">
        <v>4</v>
      </c>
    </row>
    <row r="443" spans="1:23" x14ac:dyDescent="0.25">
      <c r="A443" s="2" t="s">
        <v>744</v>
      </c>
      <c r="B443" s="1" t="s">
        <v>380</v>
      </c>
      <c r="C443" s="8">
        <v>45901</v>
      </c>
      <c r="D443" s="1" t="s">
        <v>78</v>
      </c>
      <c r="E443" s="1" t="s">
        <v>78</v>
      </c>
      <c r="F443" s="1" t="s">
        <v>34</v>
      </c>
      <c r="G443" s="1">
        <v>54</v>
      </c>
      <c r="H443" s="1" t="s">
        <v>57</v>
      </c>
      <c r="I443" s="1" t="s">
        <v>45</v>
      </c>
      <c r="J443" s="1" t="s">
        <v>111</v>
      </c>
      <c r="K443" s="14">
        <v>5</v>
      </c>
      <c r="L443" s="1">
        <v>1585</v>
      </c>
      <c r="M443" s="1">
        <v>15</v>
      </c>
      <c r="N443" s="1">
        <f>Table1[[#This Row],[Discount]]/100</f>
        <v>0.15</v>
      </c>
      <c r="O443" s="1">
        <v>1188.75</v>
      </c>
      <c r="P443" s="1">
        <v>6736.25</v>
      </c>
      <c r="Q443" s="1">
        <v>119</v>
      </c>
      <c r="R443" s="1">
        <v>6855.25</v>
      </c>
      <c r="S443" s="1" t="s">
        <v>38</v>
      </c>
      <c r="T443" s="1" t="s">
        <v>29</v>
      </c>
      <c r="U443" s="1" t="s">
        <v>30</v>
      </c>
      <c r="V443" s="11">
        <v>3</v>
      </c>
      <c r="W443" s="18">
        <v>4.5</v>
      </c>
    </row>
    <row r="444" spans="1:23" x14ac:dyDescent="0.25">
      <c r="A444" s="2" t="s">
        <v>745</v>
      </c>
      <c r="B444" s="1" t="s">
        <v>219</v>
      </c>
      <c r="C444" s="8">
        <v>45911</v>
      </c>
      <c r="D444" s="1" t="s">
        <v>56</v>
      </c>
      <c r="E444" s="1" t="s">
        <v>56</v>
      </c>
      <c r="F444" s="1" t="s">
        <v>24</v>
      </c>
      <c r="G444" s="1">
        <v>58</v>
      </c>
      <c r="H444" s="1" t="s">
        <v>50</v>
      </c>
      <c r="I444" s="1" t="s">
        <v>45</v>
      </c>
      <c r="J444" s="1" t="s">
        <v>146</v>
      </c>
      <c r="K444" s="14">
        <v>1</v>
      </c>
      <c r="L444" s="1">
        <v>1978</v>
      </c>
      <c r="M444" s="1">
        <v>25</v>
      </c>
      <c r="N444" s="1">
        <f>Table1[[#This Row],[Discount]]/100</f>
        <v>0.25</v>
      </c>
      <c r="O444" s="1">
        <v>494.5</v>
      </c>
      <c r="P444" s="1">
        <v>1483.5</v>
      </c>
      <c r="Q444" s="1">
        <v>59</v>
      </c>
      <c r="R444" s="1">
        <v>1542.5</v>
      </c>
      <c r="S444" s="1" t="s">
        <v>38</v>
      </c>
      <c r="T444" s="1" t="s">
        <v>118</v>
      </c>
      <c r="U444" s="1" t="s">
        <v>40</v>
      </c>
      <c r="V444" s="11">
        <v>5</v>
      </c>
      <c r="W444" s="18"/>
    </row>
    <row r="445" spans="1:23" x14ac:dyDescent="0.25">
      <c r="A445" s="2" t="s">
        <v>746</v>
      </c>
      <c r="B445" s="1" t="s">
        <v>475</v>
      </c>
      <c r="C445" s="8">
        <v>45697</v>
      </c>
      <c r="D445" s="1" t="s">
        <v>96</v>
      </c>
      <c r="E445" s="1" t="s">
        <v>96</v>
      </c>
      <c r="F445" s="1" t="s">
        <v>44</v>
      </c>
      <c r="G445" s="1">
        <v>50</v>
      </c>
      <c r="H445" s="1" t="s">
        <v>57</v>
      </c>
      <c r="I445" s="1" t="s">
        <v>26</v>
      </c>
      <c r="J445" s="1" t="s">
        <v>283</v>
      </c>
      <c r="K445" s="14">
        <v>3</v>
      </c>
      <c r="L445" s="1">
        <v>20278</v>
      </c>
      <c r="M445" s="1">
        <v>10</v>
      </c>
      <c r="N445" s="1">
        <f>Table1[[#This Row],[Discount]]/100</f>
        <v>0.1</v>
      </c>
      <c r="O445" s="1">
        <v>6083.4</v>
      </c>
      <c r="P445" s="1">
        <v>54750.6</v>
      </c>
      <c r="Q445" s="1">
        <v>161</v>
      </c>
      <c r="R445" s="1">
        <v>54911.6</v>
      </c>
      <c r="S445" s="1" t="s">
        <v>28</v>
      </c>
      <c r="T445" s="1" t="s">
        <v>118</v>
      </c>
      <c r="U445" s="1" t="s">
        <v>30</v>
      </c>
      <c r="V445" s="11">
        <v>1</v>
      </c>
      <c r="W445" s="18">
        <v>3</v>
      </c>
    </row>
    <row r="446" spans="1:23" x14ac:dyDescent="0.25">
      <c r="A446" s="2" t="s">
        <v>747</v>
      </c>
      <c r="B446" s="1" t="s">
        <v>370</v>
      </c>
      <c r="C446" s="8">
        <v>45894</v>
      </c>
      <c r="D446" s="1" t="s">
        <v>23</v>
      </c>
      <c r="E446" s="1" t="s">
        <v>23</v>
      </c>
      <c r="F446" s="1" t="s">
        <v>34</v>
      </c>
      <c r="G446" s="1">
        <v>29</v>
      </c>
      <c r="H446" s="1" t="s">
        <v>57</v>
      </c>
      <c r="I446" s="1" t="s">
        <v>36</v>
      </c>
      <c r="J446" s="1" t="s">
        <v>37</v>
      </c>
      <c r="K446" s="14">
        <v>3</v>
      </c>
      <c r="L446" s="1">
        <v>4524</v>
      </c>
      <c r="M446" s="1">
        <v>0</v>
      </c>
      <c r="N446" s="1">
        <f>Table1[[#This Row],[Discount]]/100</f>
        <v>0</v>
      </c>
      <c r="O446" s="1">
        <v>0</v>
      </c>
      <c r="P446" s="1">
        <v>13572</v>
      </c>
      <c r="Q446" s="1">
        <v>189</v>
      </c>
      <c r="R446" s="1">
        <v>13761</v>
      </c>
      <c r="S446" s="1" t="s">
        <v>66</v>
      </c>
      <c r="T446" s="1" t="s">
        <v>118</v>
      </c>
      <c r="U446" s="1" t="s">
        <v>30</v>
      </c>
      <c r="V446" s="11">
        <v>2</v>
      </c>
      <c r="W446" s="18">
        <v>4</v>
      </c>
    </row>
    <row r="447" spans="1:23" x14ac:dyDescent="0.25">
      <c r="A447" s="2" t="s">
        <v>748</v>
      </c>
      <c r="B447" s="1" t="s">
        <v>148</v>
      </c>
      <c r="C447" s="8">
        <v>46002</v>
      </c>
      <c r="D447" s="1" t="s">
        <v>83</v>
      </c>
      <c r="E447" s="1" t="s">
        <v>83</v>
      </c>
      <c r="F447" s="1" t="s">
        <v>34</v>
      </c>
      <c r="G447" s="1">
        <v>45</v>
      </c>
      <c r="H447" s="1" t="s">
        <v>50</v>
      </c>
      <c r="I447" s="1" t="s">
        <v>58</v>
      </c>
      <c r="J447" s="1" t="s">
        <v>65</v>
      </c>
      <c r="K447" s="14">
        <v>4</v>
      </c>
      <c r="L447" s="1">
        <v>908</v>
      </c>
      <c r="M447" s="1">
        <v>25</v>
      </c>
      <c r="N447" s="1">
        <f>Table1[[#This Row],[Discount]]/100</f>
        <v>0.25</v>
      </c>
      <c r="O447" s="1">
        <v>908</v>
      </c>
      <c r="P447" s="1">
        <v>2724</v>
      </c>
      <c r="Q447" s="1">
        <v>86</v>
      </c>
      <c r="R447" s="1">
        <v>2810</v>
      </c>
      <c r="S447" s="1" t="s">
        <v>93</v>
      </c>
      <c r="T447" s="1" t="s">
        <v>39</v>
      </c>
      <c r="U447" s="1" t="s">
        <v>70</v>
      </c>
      <c r="W447" s="18"/>
    </row>
    <row r="448" spans="1:23" x14ac:dyDescent="0.25">
      <c r="A448" s="2" t="s">
        <v>749</v>
      </c>
      <c r="B448" s="1" t="s">
        <v>616</v>
      </c>
      <c r="C448" s="8">
        <v>46011</v>
      </c>
      <c r="D448" s="1" t="s">
        <v>153</v>
      </c>
      <c r="E448" s="1" t="s">
        <v>153</v>
      </c>
      <c r="F448" s="1" t="s">
        <v>34</v>
      </c>
      <c r="G448" s="1">
        <v>43</v>
      </c>
      <c r="H448" s="1" t="s">
        <v>35</v>
      </c>
      <c r="I448" s="1" t="s">
        <v>74</v>
      </c>
      <c r="J448" s="1" t="s">
        <v>172</v>
      </c>
      <c r="K448" s="14">
        <v>4</v>
      </c>
      <c r="L448" s="1">
        <v>5788</v>
      </c>
      <c r="M448" s="1">
        <v>20</v>
      </c>
      <c r="N448" s="1">
        <f>Table1[[#This Row],[Discount]]/100</f>
        <v>0.2</v>
      </c>
      <c r="O448" s="1">
        <v>4630.3999999999996</v>
      </c>
      <c r="P448" s="1">
        <v>18521.599999999999</v>
      </c>
      <c r="Q448" s="1">
        <v>192</v>
      </c>
      <c r="R448" s="1">
        <v>18713.599999999999</v>
      </c>
      <c r="S448" s="1" t="s">
        <v>28</v>
      </c>
      <c r="T448" s="1" t="s">
        <v>39</v>
      </c>
      <c r="U448" s="1" t="s">
        <v>30</v>
      </c>
      <c r="V448" s="11">
        <v>6</v>
      </c>
      <c r="W448" s="18">
        <v>4</v>
      </c>
    </row>
    <row r="449" spans="1:23" x14ac:dyDescent="0.25">
      <c r="A449" s="2" t="s">
        <v>750</v>
      </c>
      <c r="B449" s="1" t="s">
        <v>195</v>
      </c>
      <c r="C449" s="8">
        <v>45755</v>
      </c>
      <c r="D449" s="1" t="s">
        <v>43</v>
      </c>
      <c r="E449" s="1" t="s">
        <v>43</v>
      </c>
      <c r="F449" s="1" t="s">
        <v>44</v>
      </c>
      <c r="G449" s="1">
        <v>37</v>
      </c>
      <c r="H449" s="1" t="s">
        <v>35</v>
      </c>
      <c r="I449" s="1" t="s">
        <v>26</v>
      </c>
      <c r="J449" s="1" t="s">
        <v>51</v>
      </c>
      <c r="K449" s="14">
        <v>1</v>
      </c>
      <c r="L449" s="1">
        <v>28224</v>
      </c>
      <c r="M449" s="1">
        <v>25</v>
      </c>
      <c r="N449" s="1">
        <f>Table1[[#This Row],[Discount]]/100</f>
        <v>0.25</v>
      </c>
      <c r="O449" s="1">
        <v>7056</v>
      </c>
      <c r="P449" s="1">
        <v>21168</v>
      </c>
      <c r="Q449" s="1">
        <v>157</v>
      </c>
      <c r="R449" s="1">
        <v>21325</v>
      </c>
      <c r="S449" s="1" t="s">
        <v>93</v>
      </c>
      <c r="T449" s="1" t="s">
        <v>118</v>
      </c>
      <c r="U449" s="1" t="s">
        <v>53</v>
      </c>
      <c r="W449" s="18"/>
    </row>
    <row r="450" spans="1:23" x14ac:dyDescent="0.25">
      <c r="A450" s="2" t="s">
        <v>751</v>
      </c>
      <c r="B450" s="1" t="s">
        <v>752</v>
      </c>
      <c r="C450" s="8">
        <v>45949</v>
      </c>
      <c r="D450" s="1" t="s">
        <v>153</v>
      </c>
      <c r="E450" s="1" t="s">
        <v>153</v>
      </c>
      <c r="F450" s="1" t="s">
        <v>34</v>
      </c>
      <c r="G450" s="1">
        <v>43</v>
      </c>
      <c r="H450" s="1" t="s">
        <v>50</v>
      </c>
      <c r="I450" s="1" t="s">
        <v>26</v>
      </c>
      <c r="J450" s="1" t="s">
        <v>51</v>
      </c>
      <c r="K450" s="14">
        <v>2</v>
      </c>
      <c r="L450" s="1">
        <v>59161</v>
      </c>
      <c r="M450" s="1">
        <v>20</v>
      </c>
      <c r="N450" s="1">
        <f>Table1[[#This Row],[Discount]]/100</f>
        <v>0.2</v>
      </c>
      <c r="O450" s="1">
        <v>23664.400000000001</v>
      </c>
      <c r="P450" s="1">
        <v>94657.600000000006</v>
      </c>
      <c r="Q450" s="1">
        <v>95</v>
      </c>
      <c r="R450" s="1">
        <v>94752.6</v>
      </c>
      <c r="S450" s="1" t="s">
        <v>66</v>
      </c>
      <c r="T450" s="1" t="s">
        <v>29</v>
      </c>
      <c r="U450" s="1" t="s">
        <v>30</v>
      </c>
      <c r="V450" s="11">
        <v>7</v>
      </c>
      <c r="W450" s="18">
        <v>3</v>
      </c>
    </row>
    <row r="451" spans="1:23" x14ac:dyDescent="0.25">
      <c r="A451" s="2" t="s">
        <v>753</v>
      </c>
      <c r="B451" s="1" t="s">
        <v>77</v>
      </c>
      <c r="C451" s="8">
        <v>46005</v>
      </c>
      <c r="D451" s="1" t="s">
        <v>96</v>
      </c>
      <c r="E451" s="1" t="s">
        <v>96</v>
      </c>
      <c r="F451" s="1" t="s">
        <v>34</v>
      </c>
      <c r="G451" s="1">
        <v>49</v>
      </c>
      <c r="H451" s="1" t="s">
        <v>25</v>
      </c>
      <c r="I451" s="1" t="s">
        <v>45</v>
      </c>
      <c r="J451" s="1" t="s">
        <v>146</v>
      </c>
      <c r="K451" s="14">
        <v>5</v>
      </c>
      <c r="L451" s="1">
        <v>2076</v>
      </c>
      <c r="M451" s="1">
        <v>20</v>
      </c>
      <c r="N451" s="1">
        <f>Table1[[#This Row],[Discount]]/100</f>
        <v>0.2</v>
      </c>
      <c r="O451" s="1">
        <v>2076</v>
      </c>
      <c r="P451" s="1">
        <v>8304</v>
      </c>
      <c r="Q451" s="1">
        <v>176</v>
      </c>
      <c r="R451" s="1">
        <v>8480</v>
      </c>
      <c r="S451" s="1" t="s">
        <v>28</v>
      </c>
      <c r="T451" s="1" t="s">
        <v>118</v>
      </c>
      <c r="U451" s="1" t="s">
        <v>30</v>
      </c>
      <c r="V451" s="11">
        <v>7</v>
      </c>
      <c r="W451" s="18">
        <v>3.5</v>
      </c>
    </row>
    <row r="452" spans="1:23" x14ac:dyDescent="0.25">
      <c r="A452" s="2" t="s">
        <v>754</v>
      </c>
      <c r="B452" s="1" t="s">
        <v>331</v>
      </c>
      <c r="C452" s="8">
        <v>45887</v>
      </c>
      <c r="D452" s="1" t="s">
        <v>73</v>
      </c>
      <c r="E452" s="1" t="s">
        <v>73</v>
      </c>
      <c r="F452" s="1" t="s">
        <v>34</v>
      </c>
      <c r="G452" s="1">
        <v>45</v>
      </c>
      <c r="H452" s="1" t="s">
        <v>69</v>
      </c>
      <c r="I452" s="1" t="s">
        <v>88</v>
      </c>
      <c r="J452" s="1" t="s">
        <v>117</v>
      </c>
      <c r="K452" s="14">
        <v>1</v>
      </c>
      <c r="L452" s="1">
        <v>7134</v>
      </c>
      <c r="M452" s="1">
        <v>20</v>
      </c>
      <c r="N452" s="1">
        <f>Table1[[#This Row],[Discount]]/100</f>
        <v>0.2</v>
      </c>
      <c r="O452" s="1">
        <v>1426.8</v>
      </c>
      <c r="P452" s="1">
        <v>5707.2</v>
      </c>
      <c r="Q452" s="1">
        <v>108</v>
      </c>
      <c r="R452" s="1">
        <v>5815.2</v>
      </c>
      <c r="S452" s="1" t="s">
        <v>66</v>
      </c>
      <c r="T452" s="1" t="s">
        <v>39</v>
      </c>
      <c r="U452" s="1" t="s">
        <v>70</v>
      </c>
      <c r="W452" s="18"/>
    </row>
    <row r="453" spans="1:23" x14ac:dyDescent="0.25">
      <c r="A453" s="2" t="s">
        <v>755</v>
      </c>
      <c r="B453" s="1" t="s">
        <v>374</v>
      </c>
      <c r="C453" s="8">
        <v>45808</v>
      </c>
      <c r="D453" s="1" t="s">
        <v>78</v>
      </c>
      <c r="E453" s="1" t="s">
        <v>78</v>
      </c>
      <c r="F453" s="1" t="s">
        <v>44</v>
      </c>
      <c r="G453" s="1">
        <v>42</v>
      </c>
      <c r="H453" s="1" t="s">
        <v>69</v>
      </c>
      <c r="I453" s="1" t="s">
        <v>88</v>
      </c>
      <c r="J453" s="1" t="s">
        <v>162</v>
      </c>
      <c r="K453" s="14">
        <v>2</v>
      </c>
      <c r="L453" s="1">
        <v>9928</v>
      </c>
      <c r="M453" s="1">
        <v>25</v>
      </c>
      <c r="N453" s="1">
        <f>Table1[[#This Row],[Discount]]/100</f>
        <v>0.25</v>
      </c>
      <c r="O453" s="1">
        <v>4964</v>
      </c>
      <c r="P453" s="1">
        <v>14892</v>
      </c>
      <c r="Q453" s="1">
        <v>53</v>
      </c>
      <c r="R453" s="1">
        <v>14945</v>
      </c>
      <c r="S453" s="1" t="s">
        <v>93</v>
      </c>
      <c r="T453" s="1" t="s">
        <v>39</v>
      </c>
      <c r="U453" s="1" t="s">
        <v>40</v>
      </c>
      <c r="V453" s="11">
        <v>6</v>
      </c>
      <c r="W453" s="18"/>
    </row>
    <row r="454" spans="1:23" x14ac:dyDescent="0.25">
      <c r="A454" s="2" t="s">
        <v>756</v>
      </c>
      <c r="B454" s="1" t="s">
        <v>533</v>
      </c>
      <c r="C454" s="8">
        <v>45910</v>
      </c>
      <c r="D454" s="1" t="s">
        <v>73</v>
      </c>
      <c r="E454" s="1" t="s">
        <v>73</v>
      </c>
      <c r="F454" s="1" t="s">
        <v>34</v>
      </c>
      <c r="G454" s="1">
        <v>33</v>
      </c>
      <c r="H454" s="1" t="s">
        <v>50</v>
      </c>
      <c r="I454" s="1" t="s">
        <v>74</v>
      </c>
      <c r="J454" s="1" t="s">
        <v>97</v>
      </c>
      <c r="K454" s="14">
        <v>1</v>
      </c>
      <c r="L454" s="1">
        <v>1457</v>
      </c>
      <c r="M454" s="1">
        <v>15</v>
      </c>
      <c r="N454" s="1">
        <f>Table1[[#This Row],[Discount]]/100</f>
        <v>0.15</v>
      </c>
      <c r="O454" s="1">
        <v>218.55</v>
      </c>
      <c r="P454" s="1">
        <v>1238.45</v>
      </c>
      <c r="Q454" s="1">
        <v>126</v>
      </c>
      <c r="R454" s="1">
        <v>1364.45</v>
      </c>
      <c r="S454" s="1" t="s">
        <v>38</v>
      </c>
      <c r="T454" s="1" t="s">
        <v>118</v>
      </c>
      <c r="U454" s="1" t="s">
        <v>30</v>
      </c>
      <c r="V454" s="11">
        <v>3</v>
      </c>
      <c r="W454" s="18">
        <v>3.5</v>
      </c>
    </row>
    <row r="455" spans="1:23" x14ac:dyDescent="0.25">
      <c r="A455" s="2" t="s">
        <v>757</v>
      </c>
      <c r="B455" s="1" t="s">
        <v>86</v>
      </c>
      <c r="C455" s="8">
        <v>45772</v>
      </c>
      <c r="D455" s="1" t="s">
        <v>83</v>
      </c>
      <c r="E455" s="1" t="s">
        <v>83</v>
      </c>
      <c r="F455" s="1" t="s">
        <v>44</v>
      </c>
      <c r="G455" s="1">
        <v>34</v>
      </c>
      <c r="H455" s="1" t="s">
        <v>50</v>
      </c>
      <c r="I455" s="1" t="s">
        <v>36</v>
      </c>
      <c r="J455" s="1" t="s">
        <v>159</v>
      </c>
      <c r="K455" s="14">
        <v>2</v>
      </c>
      <c r="L455" s="1">
        <v>1333</v>
      </c>
      <c r="M455" s="1">
        <v>20</v>
      </c>
      <c r="N455" s="1">
        <f>Table1[[#This Row],[Discount]]/100</f>
        <v>0.2</v>
      </c>
      <c r="O455" s="1">
        <v>533.20000000000005</v>
      </c>
      <c r="P455" s="1">
        <v>2132.8000000000002</v>
      </c>
      <c r="Q455" s="1">
        <v>163</v>
      </c>
      <c r="R455" s="1">
        <v>2295.8000000000002</v>
      </c>
      <c r="S455" s="1" t="s">
        <v>52</v>
      </c>
      <c r="T455" s="1" t="s">
        <v>118</v>
      </c>
      <c r="U455" s="1" t="s">
        <v>30</v>
      </c>
      <c r="V455" s="11">
        <v>4</v>
      </c>
      <c r="W455" s="18">
        <v>4</v>
      </c>
    </row>
    <row r="456" spans="1:23" x14ac:dyDescent="0.25">
      <c r="A456" s="2" t="s">
        <v>758</v>
      </c>
      <c r="B456" s="1" t="s">
        <v>174</v>
      </c>
      <c r="C456" s="8">
        <v>45970</v>
      </c>
      <c r="D456" s="1" t="s">
        <v>107</v>
      </c>
      <c r="E456" s="1" t="s">
        <v>107</v>
      </c>
      <c r="F456" s="1" t="s">
        <v>24</v>
      </c>
      <c r="G456" s="1">
        <v>24</v>
      </c>
      <c r="H456" s="1" t="s">
        <v>50</v>
      </c>
      <c r="I456" s="1" t="s">
        <v>74</v>
      </c>
      <c r="J456" s="1" t="s">
        <v>409</v>
      </c>
      <c r="K456" s="14">
        <v>5</v>
      </c>
      <c r="L456" s="1">
        <v>813</v>
      </c>
      <c r="M456" s="1">
        <v>0</v>
      </c>
      <c r="N456" s="1">
        <f>Table1[[#This Row],[Discount]]/100</f>
        <v>0</v>
      </c>
      <c r="O456" s="1">
        <v>0</v>
      </c>
      <c r="P456" s="1">
        <v>4065</v>
      </c>
      <c r="Q456" s="1">
        <v>220</v>
      </c>
      <c r="R456" s="1">
        <v>4285</v>
      </c>
      <c r="S456" s="1" t="s">
        <v>52</v>
      </c>
      <c r="T456" s="1" t="s">
        <v>39</v>
      </c>
      <c r="U456" s="1" t="s">
        <v>70</v>
      </c>
      <c r="W456" s="18"/>
    </row>
    <row r="457" spans="1:23" x14ac:dyDescent="0.25">
      <c r="A457" s="2" t="s">
        <v>759</v>
      </c>
      <c r="B457" s="1" t="s">
        <v>752</v>
      </c>
      <c r="C457" s="8">
        <v>45736</v>
      </c>
      <c r="D457" s="1" t="s">
        <v>56</v>
      </c>
      <c r="E457" s="1" t="s">
        <v>56</v>
      </c>
      <c r="F457" s="1" t="s">
        <v>34</v>
      </c>
      <c r="G457" s="1">
        <v>41</v>
      </c>
      <c r="H457" s="1" t="s">
        <v>50</v>
      </c>
      <c r="I457" s="1" t="s">
        <v>36</v>
      </c>
      <c r="J457" s="1" t="s">
        <v>177</v>
      </c>
      <c r="K457" s="14">
        <v>2</v>
      </c>
      <c r="L457" s="1">
        <v>4544</v>
      </c>
      <c r="M457" s="1">
        <v>15</v>
      </c>
      <c r="N457" s="1">
        <f>Table1[[#This Row],[Discount]]/100</f>
        <v>0.15</v>
      </c>
      <c r="O457" s="1">
        <v>1363.2</v>
      </c>
      <c r="P457" s="1">
        <v>7724.8</v>
      </c>
      <c r="Q457" s="1">
        <v>45</v>
      </c>
      <c r="R457" s="1">
        <v>7769.8</v>
      </c>
      <c r="S457" s="1" t="s">
        <v>47</v>
      </c>
      <c r="T457" s="1" t="s">
        <v>118</v>
      </c>
      <c r="U457" s="1" t="s">
        <v>40</v>
      </c>
      <c r="V457" s="11">
        <v>6</v>
      </c>
      <c r="W457" s="18"/>
    </row>
    <row r="458" spans="1:23" x14ac:dyDescent="0.25">
      <c r="A458" s="2" t="s">
        <v>760</v>
      </c>
      <c r="B458" s="1" t="s">
        <v>761</v>
      </c>
      <c r="C458" s="8">
        <v>45842</v>
      </c>
      <c r="D458" s="1" t="s">
        <v>96</v>
      </c>
      <c r="E458" s="1" t="s">
        <v>96</v>
      </c>
      <c r="F458" s="1" t="s">
        <v>34</v>
      </c>
      <c r="G458" s="1">
        <v>60</v>
      </c>
      <c r="H458" s="1" t="s">
        <v>25</v>
      </c>
      <c r="I458" s="1" t="s">
        <v>26</v>
      </c>
      <c r="J458" s="1" t="s">
        <v>51</v>
      </c>
      <c r="K458" s="14">
        <v>4</v>
      </c>
      <c r="L458" s="1">
        <v>45537</v>
      </c>
      <c r="M458" s="1">
        <v>10</v>
      </c>
      <c r="N458" s="1">
        <f>Table1[[#This Row],[Discount]]/100</f>
        <v>0.1</v>
      </c>
      <c r="O458" s="1">
        <v>18214.8</v>
      </c>
      <c r="P458" s="1">
        <v>163933.20000000001</v>
      </c>
      <c r="Q458" s="1">
        <v>126</v>
      </c>
      <c r="R458" s="1">
        <v>164059.20000000001</v>
      </c>
      <c r="S458" s="1" t="s">
        <v>93</v>
      </c>
      <c r="T458" s="1" t="s">
        <v>39</v>
      </c>
      <c r="U458" s="1" t="s">
        <v>40</v>
      </c>
      <c r="V458" s="11">
        <v>6</v>
      </c>
      <c r="W458" s="18"/>
    </row>
    <row r="459" spans="1:23" x14ac:dyDescent="0.25">
      <c r="A459" s="2" t="s">
        <v>762</v>
      </c>
      <c r="B459" s="1" t="s">
        <v>763</v>
      </c>
      <c r="C459" s="8">
        <v>45693</v>
      </c>
      <c r="D459" s="1" t="s">
        <v>56</v>
      </c>
      <c r="E459" s="1" t="s">
        <v>56</v>
      </c>
      <c r="F459" s="1" t="s">
        <v>44</v>
      </c>
      <c r="G459" s="1">
        <v>39</v>
      </c>
      <c r="H459" s="1" t="s">
        <v>35</v>
      </c>
      <c r="I459" s="1" t="s">
        <v>45</v>
      </c>
      <c r="J459" s="1" t="s">
        <v>146</v>
      </c>
      <c r="K459" s="14">
        <v>4</v>
      </c>
      <c r="L459" s="1">
        <v>201</v>
      </c>
      <c r="M459" s="1">
        <v>0</v>
      </c>
      <c r="N459" s="1">
        <f>Table1[[#This Row],[Discount]]/100</f>
        <v>0</v>
      </c>
      <c r="O459" s="1">
        <v>0</v>
      </c>
      <c r="P459" s="1">
        <v>804</v>
      </c>
      <c r="Q459" s="1">
        <v>152</v>
      </c>
      <c r="R459" s="1">
        <v>956</v>
      </c>
      <c r="S459" s="1" t="s">
        <v>93</v>
      </c>
      <c r="T459" s="1" t="s">
        <v>39</v>
      </c>
      <c r="U459" s="1" t="s">
        <v>40</v>
      </c>
      <c r="V459" s="11">
        <v>1</v>
      </c>
      <c r="W459" s="18"/>
    </row>
    <row r="460" spans="1:23" x14ac:dyDescent="0.25">
      <c r="A460" s="2" t="s">
        <v>764</v>
      </c>
      <c r="B460" s="1" t="s">
        <v>765</v>
      </c>
      <c r="C460" s="8">
        <v>45813</v>
      </c>
      <c r="D460" s="1" t="s">
        <v>96</v>
      </c>
      <c r="E460" s="1" t="s">
        <v>96</v>
      </c>
      <c r="F460" s="1" t="s">
        <v>44</v>
      </c>
      <c r="G460" s="1">
        <v>38</v>
      </c>
      <c r="H460" s="1" t="s">
        <v>50</v>
      </c>
      <c r="I460" s="1" t="s">
        <v>26</v>
      </c>
      <c r="J460" s="1" t="s">
        <v>51</v>
      </c>
      <c r="K460" s="14">
        <v>5</v>
      </c>
      <c r="L460" s="1">
        <v>8377</v>
      </c>
      <c r="M460" s="1">
        <v>25</v>
      </c>
      <c r="N460" s="16">
        <f>Table1[[#This Row],[Discount]]/100</f>
        <v>0.25</v>
      </c>
      <c r="O460" s="1">
        <v>10471.25</v>
      </c>
      <c r="P460" s="1">
        <v>31413.75</v>
      </c>
      <c r="Q460" s="1">
        <v>243</v>
      </c>
      <c r="R460" s="1">
        <v>31656.75</v>
      </c>
      <c r="S460" s="1" t="s">
        <v>38</v>
      </c>
      <c r="T460" s="1" t="s">
        <v>29</v>
      </c>
      <c r="U460" s="1" t="s">
        <v>40</v>
      </c>
      <c r="V460" s="11">
        <v>6</v>
      </c>
      <c r="W460" s="18"/>
    </row>
    <row r="461" spans="1:23" x14ac:dyDescent="0.25">
      <c r="A461" s="2" t="s">
        <v>766</v>
      </c>
      <c r="B461" s="1" t="s">
        <v>752</v>
      </c>
      <c r="C461" s="8">
        <v>45812</v>
      </c>
      <c r="D461" s="1" t="s">
        <v>73</v>
      </c>
      <c r="E461" s="1" t="s">
        <v>73</v>
      </c>
      <c r="F461" s="1" t="s">
        <v>44</v>
      </c>
      <c r="G461" s="1">
        <v>20</v>
      </c>
      <c r="H461" s="1" t="s">
        <v>35</v>
      </c>
      <c r="I461" s="1" t="s">
        <v>74</v>
      </c>
      <c r="J461" s="1" t="s">
        <v>172</v>
      </c>
      <c r="K461" s="14">
        <v>4</v>
      </c>
      <c r="L461" s="1">
        <v>4859</v>
      </c>
      <c r="M461" s="1">
        <v>25</v>
      </c>
      <c r="N461" s="16">
        <f>Table1[[#This Row],[Discount]]/100</f>
        <v>0.25</v>
      </c>
      <c r="O461" s="1">
        <v>4859</v>
      </c>
      <c r="P461" s="1">
        <v>14577</v>
      </c>
      <c r="Q461" s="1">
        <v>70</v>
      </c>
      <c r="R461" s="1">
        <v>14647</v>
      </c>
      <c r="S461" s="1" t="s">
        <v>52</v>
      </c>
      <c r="T461" s="1" t="s">
        <v>29</v>
      </c>
      <c r="U461" s="1" t="s">
        <v>30</v>
      </c>
      <c r="V461" s="11">
        <v>1</v>
      </c>
      <c r="W461" s="18">
        <v>4.5</v>
      </c>
    </row>
    <row r="462" spans="1:23" x14ac:dyDescent="0.25">
      <c r="A462" s="2" t="s">
        <v>767</v>
      </c>
      <c r="B462" s="1" t="s">
        <v>504</v>
      </c>
      <c r="C462" s="8">
        <v>45934</v>
      </c>
      <c r="D462" s="1" t="s">
        <v>110</v>
      </c>
      <c r="E462" s="1" t="s">
        <v>110</v>
      </c>
      <c r="F462" s="1" t="s">
        <v>44</v>
      </c>
      <c r="G462" s="1">
        <v>34</v>
      </c>
      <c r="H462" s="1" t="s">
        <v>57</v>
      </c>
      <c r="I462" s="1" t="s">
        <v>74</v>
      </c>
      <c r="J462" s="1" t="s">
        <v>137</v>
      </c>
      <c r="K462" s="14">
        <v>5</v>
      </c>
      <c r="L462" s="1">
        <v>2957</v>
      </c>
      <c r="M462" s="1">
        <v>5</v>
      </c>
      <c r="N462" s="16">
        <f>Table1[[#This Row],[Discount]]/100</f>
        <v>0.05</v>
      </c>
      <c r="O462" s="1">
        <v>739.25</v>
      </c>
      <c r="P462" s="1">
        <v>14045.75</v>
      </c>
      <c r="Q462" s="1">
        <v>247</v>
      </c>
      <c r="R462" s="1">
        <v>14292.75</v>
      </c>
      <c r="S462" s="1" t="s">
        <v>52</v>
      </c>
      <c r="T462" s="1" t="s">
        <v>39</v>
      </c>
      <c r="U462" s="1" t="s">
        <v>30</v>
      </c>
      <c r="V462" s="11">
        <v>5</v>
      </c>
      <c r="W462" s="18">
        <v>3.5</v>
      </c>
    </row>
    <row r="463" spans="1:23" x14ac:dyDescent="0.25">
      <c r="A463" s="2" t="s">
        <v>768</v>
      </c>
      <c r="B463" s="1" t="s">
        <v>55</v>
      </c>
      <c r="C463" s="8">
        <v>45660</v>
      </c>
      <c r="D463" s="1" t="s">
        <v>102</v>
      </c>
      <c r="E463" s="1" t="s">
        <v>103</v>
      </c>
      <c r="F463" s="1" t="s">
        <v>24</v>
      </c>
      <c r="G463" s="1">
        <v>39</v>
      </c>
      <c r="H463" s="1" t="s">
        <v>25</v>
      </c>
      <c r="I463" s="1" t="s">
        <v>26</v>
      </c>
      <c r="J463" s="1" t="s">
        <v>198</v>
      </c>
      <c r="K463" s="14">
        <v>3</v>
      </c>
      <c r="L463" s="1">
        <v>67318</v>
      </c>
      <c r="M463" s="1">
        <v>0</v>
      </c>
      <c r="N463" s="16">
        <f>Table1[[#This Row],[Discount]]/100</f>
        <v>0</v>
      </c>
      <c r="O463" s="1">
        <v>0</v>
      </c>
      <c r="P463" s="1">
        <v>201954</v>
      </c>
      <c r="Q463" s="1">
        <v>166</v>
      </c>
      <c r="R463" s="1">
        <v>202120</v>
      </c>
      <c r="S463" s="1" t="s">
        <v>52</v>
      </c>
      <c r="T463" s="1" t="s">
        <v>29</v>
      </c>
      <c r="U463" s="1" t="s">
        <v>30</v>
      </c>
      <c r="V463" s="11">
        <v>4</v>
      </c>
      <c r="W463" s="18">
        <v>3.5</v>
      </c>
    </row>
    <row r="464" spans="1:23" x14ac:dyDescent="0.25">
      <c r="A464" s="2" t="s">
        <v>769</v>
      </c>
      <c r="B464" s="1" t="s">
        <v>403</v>
      </c>
      <c r="C464" s="8">
        <v>45851</v>
      </c>
      <c r="D464" s="1" t="s">
        <v>107</v>
      </c>
      <c r="E464" s="1" t="s">
        <v>107</v>
      </c>
      <c r="F464" s="1" t="s">
        <v>24</v>
      </c>
      <c r="G464" s="1">
        <v>33</v>
      </c>
      <c r="H464" s="1" t="s">
        <v>25</v>
      </c>
      <c r="I464" s="1" t="s">
        <v>36</v>
      </c>
      <c r="J464" s="1" t="s">
        <v>37</v>
      </c>
      <c r="K464" s="14">
        <v>5</v>
      </c>
      <c r="L464" s="1">
        <v>6828</v>
      </c>
      <c r="M464" s="1">
        <v>25</v>
      </c>
      <c r="N464" s="16">
        <f>Table1[[#This Row],[Discount]]/100</f>
        <v>0.25</v>
      </c>
      <c r="O464" s="1">
        <v>8535</v>
      </c>
      <c r="P464" s="1">
        <v>25605</v>
      </c>
      <c r="Q464" s="1">
        <v>55</v>
      </c>
      <c r="R464" s="1">
        <v>25660</v>
      </c>
      <c r="S464" s="1" t="s">
        <v>47</v>
      </c>
      <c r="T464" s="1" t="s">
        <v>118</v>
      </c>
      <c r="U464" s="1" t="s">
        <v>30</v>
      </c>
      <c r="V464" s="11">
        <v>5</v>
      </c>
      <c r="W464" s="18">
        <v>3</v>
      </c>
    </row>
    <row r="465" spans="1:23" x14ac:dyDescent="0.25">
      <c r="A465" s="2" t="s">
        <v>770</v>
      </c>
      <c r="B465" s="1" t="s">
        <v>771</v>
      </c>
      <c r="C465" s="8">
        <v>45697</v>
      </c>
      <c r="D465" s="1" t="s">
        <v>78</v>
      </c>
      <c r="E465" s="1" t="s">
        <v>78</v>
      </c>
      <c r="F465" s="1" t="s">
        <v>24</v>
      </c>
      <c r="G465" s="1">
        <v>51</v>
      </c>
      <c r="H465" s="1" t="s">
        <v>25</v>
      </c>
      <c r="I465" s="1" t="s">
        <v>26</v>
      </c>
      <c r="J465" s="1" t="s">
        <v>51</v>
      </c>
      <c r="K465" s="14">
        <v>4</v>
      </c>
      <c r="L465" s="1">
        <v>54808</v>
      </c>
      <c r="M465" s="1">
        <v>5</v>
      </c>
      <c r="N465" s="16">
        <f>Table1[[#This Row],[Discount]]/100</f>
        <v>0.05</v>
      </c>
      <c r="O465" s="1">
        <v>10961.6</v>
      </c>
      <c r="P465" s="1">
        <v>208270.4</v>
      </c>
      <c r="Q465" s="1">
        <v>134</v>
      </c>
      <c r="R465" s="1">
        <v>208404.4</v>
      </c>
      <c r="S465" s="1" t="s">
        <v>93</v>
      </c>
      <c r="T465" s="1" t="s">
        <v>118</v>
      </c>
      <c r="U465" s="1" t="s">
        <v>30</v>
      </c>
      <c r="V465" s="11">
        <v>3</v>
      </c>
      <c r="W465" s="18">
        <v>4</v>
      </c>
    </row>
    <row r="466" spans="1:23" x14ac:dyDescent="0.25">
      <c r="A466" s="2" t="s">
        <v>772</v>
      </c>
      <c r="B466" s="1" t="s">
        <v>169</v>
      </c>
      <c r="C466" s="8">
        <v>46018</v>
      </c>
      <c r="D466" s="1" t="s">
        <v>73</v>
      </c>
      <c r="E466" s="1" t="s">
        <v>73</v>
      </c>
      <c r="F466" s="1" t="s">
        <v>24</v>
      </c>
      <c r="G466" s="1">
        <v>51</v>
      </c>
      <c r="H466" s="1" t="s">
        <v>35</v>
      </c>
      <c r="I466" s="1" t="s">
        <v>45</v>
      </c>
      <c r="J466" s="1" t="s">
        <v>146</v>
      </c>
      <c r="K466" s="14">
        <v>4</v>
      </c>
      <c r="L466" s="1">
        <v>671</v>
      </c>
      <c r="M466" s="1">
        <v>15</v>
      </c>
      <c r="N466" s="16">
        <f>Table1[[#This Row],[Discount]]/100</f>
        <v>0.15</v>
      </c>
      <c r="O466" s="1">
        <v>402.6</v>
      </c>
      <c r="P466" s="1">
        <v>2281.4</v>
      </c>
      <c r="Q466" s="1">
        <v>53</v>
      </c>
      <c r="R466" s="1">
        <v>2334.4</v>
      </c>
      <c r="S466" s="1" t="s">
        <v>93</v>
      </c>
      <c r="T466" s="1" t="s">
        <v>118</v>
      </c>
      <c r="U466" s="1" t="s">
        <v>40</v>
      </c>
      <c r="V466" s="11">
        <v>5</v>
      </c>
      <c r="W466" s="18"/>
    </row>
    <row r="467" spans="1:23" x14ac:dyDescent="0.25">
      <c r="A467" s="2" t="s">
        <v>773</v>
      </c>
      <c r="B467" s="1" t="s">
        <v>305</v>
      </c>
      <c r="C467" s="8">
        <v>45736</v>
      </c>
      <c r="D467" s="1" t="s">
        <v>153</v>
      </c>
      <c r="E467" s="1" t="s">
        <v>153</v>
      </c>
      <c r="F467" s="1" t="s">
        <v>44</v>
      </c>
      <c r="G467" s="1">
        <v>41</v>
      </c>
      <c r="H467" s="1" t="s">
        <v>69</v>
      </c>
      <c r="I467" s="1" t="s">
        <v>36</v>
      </c>
      <c r="J467" s="1" t="s">
        <v>159</v>
      </c>
      <c r="K467" s="14">
        <v>5</v>
      </c>
      <c r="L467" s="1">
        <v>3427</v>
      </c>
      <c r="M467" s="1">
        <v>20</v>
      </c>
      <c r="N467" s="16">
        <f>Table1[[#This Row],[Discount]]/100</f>
        <v>0.2</v>
      </c>
      <c r="O467" s="1">
        <v>3427</v>
      </c>
      <c r="P467" s="1">
        <v>13708</v>
      </c>
      <c r="Q467" s="1">
        <v>153</v>
      </c>
      <c r="R467" s="1">
        <v>13861</v>
      </c>
      <c r="S467" s="1" t="s">
        <v>93</v>
      </c>
      <c r="T467" s="1" t="s">
        <v>39</v>
      </c>
      <c r="U467" s="1" t="s">
        <v>30</v>
      </c>
      <c r="V467" s="11">
        <v>1</v>
      </c>
      <c r="W467" s="18">
        <v>4</v>
      </c>
    </row>
    <row r="468" spans="1:23" x14ac:dyDescent="0.25">
      <c r="A468" s="2" t="s">
        <v>774</v>
      </c>
      <c r="B468" s="1" t="s">
        <v>388</v>
      </c>
      <c r="C468" s="8">
        <v>45938</v>
      </c>
      <c r="D468" s="1" t="s">
        <v>140</v>
      </c>
      <c r="E468" s="1" t="s">
        <v>141</v>
      </c>
      <c r="F468" s="1" t="s">
        <v>44</v>
      </c>
      <c r="G468" s="1">
        <v>22</v>
      </c>
      <c r="H468" s="1" t="s">
        <v>25</v>
      </c>
      <c r="I468" s="1" t="s">
        <v>74</v>
      </c>
      <c r="J468" s="1" t="s">
        <v>75</v>
      </c>
      <c r="K468" s="14">
        <v>5</v>
      </c>
      <c r="L468" s="1">
        <v>798</v>
      </c>
      <c r="M468" s="1">
        <v>25</v>
      </c>
      <c r="N468" s="16">
        <f>Table1[[#This Row],[Discount]]/100</f>
        <v>0.25</v>
      </c>
      <c r="O468" s="1">
        <v>997.5</v>
      </c>
      <c r="P468" s="1">
        <v>2992.5</v>
      </c>
      <c r="Q468" s="1">
        <v>51</v>
      </c>
      <c r="R468" s="1">
        <v>3043.5</v>
      </c>
      <c r="S468" s="1" t="s">
        <v>38</v>
      </c>
      <c r="T468" s="1" t="s">
        <v>29</v>
      </c>
      <c r="U468" s="1" t="s">
        <v>30</v>
      </c>
      <c r="V468" s="11">
        <v>3</v>
      </c>
      <c r="W468" s="18">
        <v>3</v>
      </c>
    </row>
    <row r="469" spans="1:23" x14ac:dyDescent="0.25">
      <c r="A469" s="2" t="s">
        <v>775</v>
      </c>
      <c r="B469" s="1" t="s">
        <v>594</v>
      </c>
      <c r="C469" s="8">
        <v>45824</v>
      </c>
      <c r="D469" s="1" t="s">
        <v>78</v>
      </c>
      <c r="E469" s="1" t="s">
        <v>78</v>
      </c>
      <c r="F469" s="1" t="s">
        <v>44</v>
      </c>
      <c r="G469" s="1">
        <v>57</v>
      </c>
      <c r="H469" s="1" t="s">
        <v>57</v>
      </c>
      <c r="I469" s="1" t="s">
        <v>88</v>
      </c>
      <c r="J469" s="1" t="s">
        <v>162</v>
      </c>
      <c r="K469" s="14">
        <v>4</v>
      </c>
      <c r="L469" s="1">
        <v>8570</v>
      </c>
      <c r="M469" s="1">
        <v>25</v>
      </c>
      <c r="N469" s="16">
        <f>Table1[[#This Row],[Discount]]/100</f>
        <v>0.25</v>
      </c>
      <c r="O469" s="1">
        <v>8570</v>
      </c>
      <c r="P469" s="1">
        <v>25710</v>
      </c>
      <c r="Q469" s="1">
        <v>241</v>
      </c>
      <c r="R469" s="1">
        <v>25951</v>
      </c>
      <c r="S469" s="1" t="s">
        <v>47</v>
      </c>
      <c r="T469" s="1" t="s">
        <v>118</v>
      </c>
      <c r="U469" s="1" t="s">
        <v>30</v>
      </c>
      <c r="V469" s="11">
        <v>1</v>
      </c>
      <c r="W469" s="18">
        <v>5</v>
      </c>
    </row>
    <row r="470" spans="1:23" x14ac:dyDescent="0.25">
      <c r="A470" s="2" t="s">
        <v>776</v>
      </c>
      <c r="B470" s="1" t="s">
        <v>219</v>
      </c>
      <c r="C470" s="8">
        <v>46020</v>
      </c>
      <c r="D470" s="1" t="s">
        <v>83</v>
      </c>
      <c r="E470" s="1" t="s">
        <v>83</v>
      </c>
      <c r="F470" s="1" t="s">
        <v>34</v>
      </c>
      <c r="G470" s="1">
        <v>53</v>
      </c>
      <c r="H470" s="1" t="s">
        <v>25</v>
      </c>
      <c r="I470" s="1" t="s">
        <v>58</v>
      </c>
      <c r="J470" s="1" t="s">
        <v>104</v>
      </c>
      <c r="K470" s="14">
        <v>4</v>
      </c>
      <c r="L470" s="1">
        <v>3046</v>
      </c>
      <c r="M470" s="1">
        <v>20</v>
      </c>
      <c r="N470" s="16">
        <f>Table1[[#This Row],[Discount]]/100</f>
        <v>0.2</v>
      </c>
      <c r="O470" s="1">
        <v>2436.8000000000002</v>
      </c>
      <c r="P470" s="1">
        <v>9747.2000000000007</v>
      </c>
      <c r="Q470" s="1">
        <v>217</v>
      </c>
      <c r="R470" s="1">
        <v>9964.2000000000007</v>
      </c>
      <c r="S470" s="1" t="s">
        <v>28</v>
      </c>
      <c r="T470" s="1" t="s">
        <v>39</v>
      </c>
      <c r="U470" s="1" t="s">
        <v>40</v>
      </c>
      <c r="V470" s="11">
        <v>3</v>
      </c>
      <c r="W470" s="18"/>
    </row>
    <row r="471" spans="1:23" x14ac:dyDescent="0.25">
      <c r="A471" s="2" t="s">
        <v>777</v>
      </c>
      <c r="B471" s="1" t="s">
        <v>224</v>
      </c>
      <c r="C471" s="8">
        <v>45750</v>
      </c>
      <c r="D471" s="1" t="s">
        <v>73</v>
      </c>
      <c r="E471" s="1" t="s">
        <v>73</v>
      </c>
      <c r="F471" s="1" t="s">
        <v>34</v>
      </c>
      <c r="G471" s="1">
        <v>35</v>
      </c>
      <c r="H471" s="1" t="s">
        <v>35</v>
      </c>
      <c r="I471" s="1" t="s">
        <v>58</v>
      </c>
      <c r="J471" s="1" t="s">
        <v>114</v>
      </c>
      <c r="K471" s="14">
        <v>1</v>
      </c>
      <c r="L471" s="1">
        <v>3823</v>
      </c>
      <c r="M471" s="1">
        <v>0</v>
      </c>
      <c r="N471" s="16">
        <f>Table1[[#This Row],[Discount]]/100</f>
        <v>0</v>
      </c>
      <c r="O471" s="1">
        <v>0</v>
      </c>
      <c r="P471" s="1">
        <v>3823</v>
      </c>
      <c r="Q471" s="1">
        <v>156</v>
      </c>
      <c r="R471" s="1">
        <v>3979</v>
      </c>
      <c r="S471" s="1" t="s">
        <v>66</v>
      </c>
      <c r="T471" s="1" t="s">
        <v>29</v>
      </c>
      <c r="U471" s="1" t="s">
        <v>40</v>
      </c>
      <c r="V471" s="11">
        <v>1</v>
      </c>
      <c r="W471" s="18"/>
    </row>
    <row r="472" spans="1:23" x14ac:dyDescent="0.25">
      <c r="A472" s="2" t="s">
        <v>778</v>
      </c>
      <c r="B472" s="1" t="s">
        <v>649</v>
      </c>
      <c r="C472" s="8">
        <v>45870</v>
      </c>
      <c r="D472" s="1" t="s">
        <v>78</v>
      </c>
      <c r="E472" s="1" t="s">
        <v>78</v>
      </c>
      <c r="F472" s="1" t="s">
        <v>44</v>
      </c>
      <c r="G472" s="1">
        <v>51</v>
      </c>
      <c r="H472" s="1" t="s">
        <v>50</v>
      </c>
      <c r="I472" s="1" t="s">
        <v>26</v>
      </c>
      <c r="J472" s="1" t="s">
        <v>79</v>
      </c>
      <c r="K472" s="14">
        <v>5</v>
      </c>
      <c r="L472" s="1">
        <v>42799</v>
      </c>
      <c r="M472" s="1">
        <v>0</v>
      </c>
      <c r="N472" s="16">
        <f>Table1[[#This Row],[Discount]]/100</f>
        <v>0</v>
      </c>
      <c r="O472" s="1">
        <v>0</v>
      </c>
      <c r="P472" s="1">
        <v>213995</v>
      </c>
      <c r="Q472" s="1">
        <v>66</v>
      </c>
      <c r="R472" s="1">
        <v>214061</v>
      </c>
      <c r="S472" s="1" t="s">
        <v>28</v>
      </c>
      <c r="T472" s="1" t="s">
        <v>39</v>
      </c>
      <c r="U472" s="1" t="s">
        <v>30</v>
      </c>
      <c r="V472" s="11">
        <v>1</v>
      </c>
      <c r="W472" s="18">
        <v>4</v>
      </c>
    </row>
    <row r="473" spans="1:23" x14ac:dyDescent="0.25">
      <c r="A473" s="2" t="s">
        <v>779</v>
      </c>
      <c r="B473" s="1" t="s">
        <v>780</v>
      </c>
      <c r="C473" s="8">
        <v>45824</v>
      </c>
      <c r="D473" s="1" t="s">
        <v>120</v>
      </c>
      <c r="E473" s="1" t="s">
        <v>120</v>
      </c>
      <c r="F473" s="1" t="s">
        <v>44</v>
      </c>
      <c r="G473" s="1">
        <v>19</v>
      </c>
      <c r="H473" s="1" t="s">
        <v>57</v>
      </c>
      <c r="I473" s="1" t="s">
        <v>74</v>
      </c>
      <c r="J473" s="1" t="s">
        <v>97</v>
      </c>
      <c r="K473" s="14">
        <v>2</v>
      </c>
      <c r="L473" s="1">
        <v>2493</v>
      </c>
      <c r="M473" s="1">
        <v>25</v>
      </c>
      <c r="N473" s="16">
        <f>Table1[[#This Row],[Discount]]/100</f>
        <v>0.25</v>
      </c>
      <c r="O473" s="1">
        <v>1246.5</v>
      </c>
      <c r="P473" s="1">
        <v>3739.5</v>
      </c>
      <c r="Q473" s="1">
        <v>177</v>
      </c>
      <c r="R473" s="1">
        <v>3916.5</v>
      </c>
      <c r="S473" s="1" t="s">
        <v>28</v>
      </c>
      <c r="T473" s="1" t="s">
        <v>118</v>
      </c>
      <c r="U473" s="1" t="s">
        <v>30</v>
      </c>
      <c r="V473" s="11">
        <v>2</v>
      </c>
      <c r="W473" s="18">
        <v>5</v>
      </c>
    </row>
    <row r="474" spans="1:23" x14ac:dyDescent="0.25">
      <c r="A474" s="2" t="s">
        <v>781</v>
      </c>
      <c r="B474" s="1" t="s">
        <v>185</v>
      </c>
      <c r="C474" s="8">
        <v>45918</v>
      </c>
      <c r="D474" s="1" t="s">
        <v>56</v>
      </c>
      <c r="E474" s="1" t="s">
        <v>56</v>
      </c>
      <c r="F474" s="1" t="s">
        <v>34</v>
      </c>
      <c r="G474" s="1">
        <v>50</v>
      </c>
      <c r="H474" s="1" t="s">
        <v>69</v>
      </c>
      <c r="I474" s="1" t="s">
        <v>45</v>
      </c>
      <c r="J474" s="1" t="s">
        <v>111</v>
      </c>
      <c r="K474" s="14">
        <v>3</v>
      </c>
      <c r="L474" s="1">
        <v>909</v>
      </c>
      <c r="M474" s="1">
        <v>20</v>
      </c>
      <c r="N474" s="16">
        <f>Table1[[#This Row],[Discount]]/100</f>
        <v>0.2</v>
      </c>
      <c r="O474" s="1">
        <v>545.4</v>
      </c>
      <c r="P474" s="1">
        <v>2181.6</v>
      </c>
      <c r="Q474" s="1">
        <v>146</v>
      </c>
      <c r="R474" s="1">
        <v>2327.6</v>
      </c>
      <c r="S474" s="1" t="s">
        <v>28</v>
      </c>
      <c r="T474" s="1" t="s">
        <v>118</v>
      </c>
      <c r="U474" s="1" t="s">
        <v>30</v>
      </c>
      <c r="V474" s="11">
        <v>7</v>
      </c>
      <c r="W474" s="18">
        <v>4</v>
      </c>
    </row>
    <row r="475" spans="1:23" x14ac:dyDescent="0.25">
      <c r="A475" s="2" t="s">
        <v>782</v>
      </c>
      <c r="B475" s="1" t="s">
        <v>783</v>
      </c>
      <c r="C475" s="8">
        <v>46003</v>
      </c>
      <c r="D475" s="1" t="s">
        <v>78</v>
      </c>
      <c r="E475" s="1" t="s">
        <v>78</v>
      </c>
      <c r="F475" s="1" t="s">
        <v>34</v>
      </c>
      <c r="G475" s="1">
        <v>33</v>
      </c>
      <c r="H475" s="1" t="s">
        <v>69</v>
      </c>
      <c r="I475" s="1" t="s">
        <v>58</v>
      </c>
      <c r="J475" s="1" t="s">
        <v>65</v>
      </c>
      <c r="K475" s="14">
        <v>1</v>
      </c>
      <c r="L475" s="1">
        <v>3892</v>
      </c>
      <c r="M475" s="1">
        <v>0</v>
      </c>
      <c r="N475" s="16">
        <f>Table1[[#This Row],[Discount]]/100</f>
        <v>0</v>
      </c>
      <c r="O475" s="1">
        <v>0</v>
      </c>
      <c r="P475" s="1">
        <v>3892</v>
      </c>
      <c r="Q475" s="1">
        <v>170</v>
      </c>
      <c r="R475" s="1">
        <v>4062</v>
      </c>
      <c r="S475" s="1" t="s">
        <v>52</v>
      </c>
      <c r="T475" s="1" t="s">
        <v>118</v>
      </c>
      <c r="U475" s="1" t="s">
        <v>30</v>
      </c>
      <c r="V475" s="11">
        <v>1</v>
      </c>
      <c r="W475" s="18">
        <v>4.5</v>
      </c>
    </row>
    <row r="476" spans="1:23" x14ac:dyDescent="0.25">
      <c r="A476" s="2" t="s">
        <v>784</v>
      </c>
      <c r="B476" s="1" t="s">
        <v>248</v>
      </c>
      <c r="C476" s="8">
        <v>45889</v>
      </c>
      <c r="D476" s="1" t="s">
        <v>78</v>
      </c>
      <c r="E476" s="1" t="s">
        <v>78</v>
      </c>
      <c r="F476" s="1" t="s">
        <v>44</v>
      </c>
      <c r="G476" s="1">
        <v>18</v>
      </c>
      <c r="H476" s="1" t="s">
        <v>25</v>
      </c>
      <c r="I476" s="1" t="s">
        <v>26</v>
      </c>
      <c r="J476" s="1" t="s">
        <v>79</v>
      </c>
      <c r="K476" s="14">
        <v>2</v>
      </c>
      <c r="L476" s="1">
        <v>19460</v>
      </c>
      <c r="M476" s="1">
        <v>20</v>
      </c>
      <c r="N476" s="16">
        <f>Table1[[#This Row],[Discount]]/100</f>
        <v>0.2</v>
      </c>
      <c r="O476" s="1">
        <v>7784</v>
      </c>
      <c r="P476" s="1">
        <v>31136</v>
      </c>
      <c r="Q476" s="1">
        <v>162</v>
      </c>
      <c r="R476" s="1">
        <v>31298</v>
      </c>
      <c r="S476" s="1" t="s">
        <v>38</v>
      </c>
      <c r="T476" s="1" t="s">
        <v>29</v>
      </c>
      <c r="U476" s="1" t="s">
        <v>70</v>
      </c>
      <c r="W476" s="18"/>
    </row>
    <row r="477" spans="1:23" x14ac:dyDescent="0.25">
      <c r="A477" s="2" t="s">
        <v>785</v>
      </c>
      <c r="B477" s="1" t="s">
        <v>116</v>
      </c>
      <c r="C477" s="8">
        <v>45919</v>
      </c>
      <c r="D477" s="1" t="s">
        <v>56</v>
      </c>
      <c r="E477" s="1" t="s">
        <v>56</v>
      </c>
      <c r="F477" s="1" t="s">
        <v>24</v>
      </c>
      <c r="G477" s="1">
        <v>20</v>
      </c>
      <c r="H477" s="1" t="s">
        <v>25</v>
      </c>
      <c r="I477" s="1" t="s">
        <v>26</v>
      </c>
      <c r="J477" s="1" t="s">
        <v>27</v>
      </c>
      <c r="K477" s="14">
        <v>4</v>
      </c>
      <c r="L477" s="1">
        <v>36622</v>
      </c>
      <c r="M477" s="1">
        <v>25</v>
      </c>
      <c r="N477" s="16">
        <f>Table1[[#This Row],[Discount]]/100</f>
        <v>0.25</v>
      </c>
      <c r="O477" s="1">
        <v>36622</v>
      </c>
      <c r="P477" s="1">
        <v>109866</v>
      </c>
      <c r="Q477" s="1">
        <v>235</v>
      </c>
      <c r="R477" s="1">
        <v>110101</v>
      </c>
      <c r="S477" s="1" t="s">
        <v>28</v>
      </c>
      <c r="T477" s="1" t="s">
        <v>118</v>
      </c>
      <c r="U477" s="1" t="s">
        <v>30</v>
      </c>
      <c r="V477" s="11">
        <v>3</v>
      </c>
      <c r="W477" s="18">
        <v>3.5</v>
      </c>
    </row>
    <row r="478" spans="1:23" x14ac:dyDescent="0.25">
      <c r="A478" s="2" t="s">
        <v>786</v>
      </c>
      <c r="B478" s="1" t="s">
        <v>570</v>
      </c>
      <c r="C478" s="8">
        <v>45983</v>
      </c>
      <c r="D478" s="1" t="s">
        <v>43</v>
      </c>
      <c r="E478" s="1" t="s">
        <v>43</v>
      </c>
      <c r="F478" s="1" t="s">
        <v>34</v>
      </c>
      <c r="G478" s="1">
        <v>46</v>
      </c>
      <c r="H478" s="1" t="s">
        <v>69</v>
      </c>
      <c r="I478" s="1" t="s">
        <v>45</v>
      </c>
      <c r="J478" s="1" t="s">
        <v>46</v>
      </c>
      <c r="K478" s="14">
        <v>2</v>
      </c>
      <c r="L478" s="1">
        <v>943</v>
      </c>
      <c r="M478" s="1">
        <v>10</v>
      </c>
      <c r="N478" s="16">
        <f>Table1[[#This Row],[Discount]]/100</f>
        <v>0.1</v>
      </c>
      <c r="O478" s="1">
        <v>188.6</v>
      </c>
      <c r="P478" s="1">
        <v>1697.4</v>
      </c>
      <c r="Q478" s="1">
        <v>107</v>
      </c>
      <c r="R478" s="1">
        <v>1804.4</v>
      </c>
      <c r="S478" s="1" t="s">
        <v>38</v>
      </c>
      <c r="T478" s="1" t="s">
        <v>39</v>
      </c>
      <c r="U478" s="1" t="s">
        <v>80</v>
      </c>
      <c r="W478" s="18"/>
    </row>
    <row r="479" spans="1:23" x14ac:dyDescent="0.25">
      <c r="A479" s="2" t="s">
        <v>787</v>
      </c>
      <c r="B479" s="1" t="s">
        <v>268</v>
      </c>
      <c r="C479" s="8">
        <v>45942</v>
      </c>
      <c r="D479" s="1" t="s">
        <v>78</v>
      </c>
      <c r="E479" s="1" t="s">
        <v>78</v>
      </c>
      <c r="F479" s="1" t="s">
        <v>44</v>
      </c>
      <c r="G479" s="1">
        <v>49</v>
      </c>
      <c r="H479" s="1" t="s">
        <v>25</v>
      </c>
      <c r="I479" s="1" t="s">
        <v>58</v>
      </c>
      <c r="J479" s="1" t="s">
        <v>62</v>
      </c>
      <c r="K479" s="14">
        <v>1</v>
      </c>
      <c r="L479" s="1">
        <v>167</v>
      </c>
      <c r="M479" s="1">
        <v>0</v>
      </c>
      <c r="N479" s="16">
        <f>Table1[[#This Row],[Discount]]/100</f>
        <v>0</v>
      </c>
      <c r="O479" s="1">
        <v>0</v>
      </c>
      <c r="P479" s="1">
        <v>167</v>
      </c>
      <c r="Q479" s="1">
        <v>125</v>
      </c>
      <c r="R479" s="1">
        <v>292</v>
      </c>
      <c r="S479" s="1" t="s">
        <v>28</v>
      </c>
      <c r="T479" s="1" t="s">
        <v>29</v>
      </c>
      <c r="U479" s="1" t="s">
        <v>40</v>
      </c>
      <c r="V479" s="11">
        <v>6</v>
      </c>
      <c r="W479" s="18"/>
    </row>
    <row r="480" spans="1:23" x14ac:dyDescent="0.25">
      <c r="A480" s="2" t="s">
        <v>788</v>
      </c>
      <c r="B480" s="1" t="s">
        <v>252</v>
      </c>
      <c r="C480" s="8">
        <v>46014</v>
      </c>
      <c r="D480" s="1" t="s">
        <v>23</v>
      </c>
      <c r="E480" s="1" t="s">
        <v>23</v>
      </c>
      <c r="F480" s="1" t="s">
        <v>34</v>
      </c>
      <c r="G480" s="1">
        <v>25</v>
      </c>
      <c r="H480" s="1" t="s">
        <v>57</v>
      </c>
      <c r="I480" s="1" t="s">
        <v>26</v>
      </c>
      <c r="J480" s="1" t="s">
        <v>79</v>
      </c>
      <c r="K480" s="14">
        <v>1</v>
      </c>
      <c r="L480" s="1">
        <v>59150</v>
      </c>
      <c r="M480" s="1">
        <v>20</v>
      </c>
      <c r="N480" s="16">
        <f>Table1[[#This Row],[Discount]]/100</f>
        <v>0.2</v>
      </c>
      <c r="O480" s="1">
        <v>11830</v>
      </c>
      <c r="P480" s="1">
        <v>47320</v>
      </c>
      <c r="Q480" s="1">
        <v>65</v>
      </c>
      <c r="R480" s="1">
        <v>47385</v>
      </c>
      <c r="S480" s="1" t="s">
        <v>28</v>
      </c>
      <c r="T480" s="1" t="s">
        <v>39</v>
      </c>
      <c r="U480" s="1" t="s">
        <v>30</v>
      </c>
      <c r="V480" s="11">
        <v>1</v>
      </c>
      <c r="W480" s="18">
        <v>4</v>
      </c>
    </row>
    <row r="481" spans="1:23" x14ac:dyDescent="0.25">
      <c r="A481" s="2" t="s">
        <v>789</v>
      </c>
      <c r="B481" s="1" t="s">
        <v>703</v>
      </c>
      <c r="C481" s="8">
        <v>46018</v>
      </c>
      <c r="D481" s="1" t="s">
        <v>102</v>
      </c>
      <c r="E481" s="1" t="s">
        <v>103</v>
      </c>
      <c r="F481" s="1" t="s">
        <v>34</v>
      </c>
      <c r="G481" s="1">
        <v>56</v>
      </c>
      <c r="H481" s="1" t="s">
        <v>57</v>
      </c>
      <c r="I481" s="1" t="s">
        <v>26</v>
      </c>
      <c r="J481" s="1" t="s">
        <v>198</v>
      </c>
      <c r="K481" s="14">
        <v>3</v>
      </c>
      <c r="L481" s="1">
        <v>25901</v>
      </c>
      <c r="M481" s="1">
        <v>10</v>
      </c>
      <c r="N481" s="16">
        <f>Table1[[#This Row],[Discount]]/100</f>
        <v>0.1</v>
      </c>
      <c r="O481" s="1">
        <v>7770.3</v>
      </c>
      <c r="P481" s="1">
        <v>69932.7</v>
      </c>
      <c r="Q481" s="1">
        <v>146</v>
      </c>
      <c r="R481" s="1">
        <v>70078.7</v>
      </c>
      <c r="S481" s="1" t="s">
        <v>28</v>
      </c>
      <c r="T481" s="1" t="s">
        <v>118</v>
      </c>
      <c r="U481" s="1" t="s">
        <v>30</v>
      </c>
      <c r="V481" s="11">
        <v>6</v>
      </c>
      <c r="W481" s="18">
        <v>3.5</v>
      </c>
    </row>
    <row r="482" spans="1:23" x14ac:dyDescent="0.25">
      <c r="A482" s="2" t="s">
        <v>790</v>
      </c>
      <c r="B482" s="1" t="s">
        <v>394</v>
      </c>
      <c r="C482" s="8">
        <v>45723</v>
      </c>
      <c r="D482" s="1" t="s">
        <v>73</v>
      </c>
      <c r="E482" s="1" t="s">
        <v>73</v>
      </c>
      <c r="F482" s="1" t="s">
        <v>24</v>
      </c>
      <c r="G482" s="1">
        <v>54</v>
      </c>
      <c r="H482" s="1" t="s">
        <v>69</v>
      </c>
      <c r="I482" s="1" t="s">
        <v>58</v>
      </c>
      <c r="J482" s="1" t="s">
        <v>65</v>
      </c>
      <c r="K482" s="14">
        <v>2</v>
      </c>
      <c r="L482" s="1">
        <v>868</v>
      </c>
      <c r="M482" s="1">
        <v>20</v>
      </c>
      <c r="N482" s="16">
        <f>Table1[[#This Row],[Discount]]/100</f>
        <v>0.2</v>
      </c>
      <c r="O482" s="1">
        <v>347.2</v>
      </c>
      <c r="P482" s="1">
        <v>1388.8</v>
      </c>
      <c r="Q482" s="1">
        <v>36</v>
      </c>
      <c r="R482" s="1">
        <v>1424.8</v>
      </c>
      <c r="S482" s="1" t="s">
        <v>47</v>
      </c>
      <c r="T482" s="1" t="s">
        <v>29</v>
      </c>
      <c r="U482" s="1" t="s">
        <v>30</v>
      </c>
      <c r="V482" s="11">
        <v>3</v>
      </c>
      <c r="W482" s="18">
        <v>3.5</v>
      </c>
    </row>
    <row r="483" spans="1:23" x14ac:dyDescent="0.25">
      <c r="A483" s="2" t="s">
        <v>791</v>
      </c>
      <c r="B483" s="1" t="s">
        <v>551</v>
      </c>
      <c r="C483" s="8">
        <v>45684</v>
      </c>
      <c r="D483" s="1" t="s">
        <v>153</v>
      </c>
      <c r="E483" s="1" t="s">
        <v>153</v>
      </c>
      <c r="F483" s="1" t="s">
        <v>44</v>
      </c>
      <c r="G483" s="1">
        <v>38</v>
      </c>
      <c r="H483" s="1" t="s">
        <v>69</v>
      </c>
      <c r="I483" s="1" t="s">
        <v>36</v>
      </c>
      <c r="J483" s="1" t="s">
        <v>37</v>
      </c>
      <c r="K483" s="14">
        <v>5</v>
      </c>
      <c r="L483" s="1">
        <v>3898</v>
      </c>
      <c r="M483" s="1">
        <v>25</v>
      </c>
      <c r="N483" s="16">
        <f>Table1[[#This Row],[Discount]]/100</f>
        <v>0.25</v>
      </c>
      <c r="O483" s="1">
        <v>4872.5</v>
      </c>
      <c r="P483" s="1">
        <v>14617.5</v>
      </c>
      <c r="Q483" s="1">
        <v>186</v>
      </c>
      <c r="R483" s="1">
        <v>14803.5</v>
      </c>
      <c r="S483" s="1" t="s">
        <v>28</v>
      </c>
      <c r="T483" s="1" t="s">
        <v>29</v>
      </c>
      <c r="U483" s="1" t="s">
        <v>40</v>
      </c>
      <c r="V483" s="11">
        <v>7</v>
      </c>
      <c r="W483" s="18"/>
    </row>
    <row r="484" spans="1:23" x14ac:dyDescent="0.25">
      <c r="A484" s="2" t="s">
        <v>792</v>
      </c>
      <c r="B484" s="1" t="s">
        <v>568</v>
      </c>
      <c r="C484" s="8">
        <v>45660</v>
      </c>
      <c r="D484" s="1" t="s">
        <v>120</v>
      </c>
      <c r="E484" s="1" t="s">
        <v>120</v>
      </c>
      <c r="F484" s="1" t="s">
        <v>24</v>
      </c>
      <c r="G484" s="1">
        <v>30</v>
      </c>
      <c r="H484" s="1" t="s">
        <v>50</v>
      </c>
      <c r="I484" s="1" t="s">
        <v>45</v>
      </c>
      <c r="J484" s="1" t="s">
        <v>146</v>
      </c>
      <c r="K484" s="14">
        <v>3</v>
      </c>
      <c r="L484" s="1">
        <v>272</v>
      </c>
      <c r="M484" s="1">
        <v>15</v>
      </c>
      <c r="N484" s="16">
        <f>Table1[[#This Row],[Discount]]/100</f>
        <v>0.15</v>
      </c>
      <c r="O484" s="1">
        <v>122.4</v>
      </c>
      <c r="P484" s="1">
        <v>693.6</v>
      </c>
      <c r="Q484" s="1">
        <v>100</v>
      </c>
      <c r="R484" s="1">
        <v>793.6</v>
      </c>
      <c r="S484" s="1" t="s">
        <v>66</v>
      </c>
      <c r="T484" s="1" t="s">
        <v>39</v>
      </c>
      <c r="U484" s="1" t="s">
        <v>30</v>
      </c>
      <c r="V484" s="11">
        <v>4</v>
      </c>
      <c r="W484" s="18">
        <v>4</v>
      </c>
    </row>
    <row r="485" spans="1:23" x14ac:dyDescent="0.25">
      <c r="A485" s="2" t="s">
        <v>793</v>
      </c>
      <c r="B485" s="1" t="s">
        <v>566</v>
      </c>
      <c r="C485" s="8">
        <v>45879</v>
      </c>
      <c r="D485" s="1" t="s">
        <v>102</v>
      </c>
      <c r="E485" s="1" t="s">
        <v>103</v>
      </c>
      <c r="F485" s="1" t="s">
        <v>24</v>
      </c>
      <c r="G485" s="1">
        <v>19</v>
      </c>
      <c r="H485" s="1" t="s">
        <v>69</v>
      </c>
      <c r="I485" s="1" t="s">
        <v>45</v>
      </c>
      <c r="J485" s="1" t="s">
        <v>46</v>
      </c>
      <c r="K485" s="14">
        <v>2</v>
      </c>
      <c r="L485" s="1">
        <v>1353</v>
      </c>
      <c r="M485" s="1">
        <v>25</v>
      </c>
      <c r="N485" s="16">
        <f>Table1[[#This Row],[Discount]]/100</f>
        <v>0.25</v>
      </c>
      <c r="O485" s="1">
        <v>676.5</v>
      </c>
      <c r="P485" s="1">
        <v>2029.5</v>
      </c>
      <c r="Q485" s="1">
        <v>142</v>
      </c>
      <c r="R485" s="1">
        <v>2171.5</v>
      </c>
      <c r="S485" s="1" t="s">
        <v>38</v>
      </c>
      <c r="T485" s="1" t="s">
        <v>39</v>
      </c>
      <c r="U485" s="1" t="s">
        <v>30</v>
      </c>
      <c r="V485" s="11">
        <v>7</v>
      </c>
      <c r="W485" s="18">
        <v>4.5</v>
      </c>
    </row>
    <row r="486" spans="1:23" x14ac:dyDescent="0.25">
      <c r="A486" s="2" t="s">
        <v>794</v>
      </c>
      <c r="B486" s="1" t="s">
        <v>555</v>
      </c>
      <c r="C486" s="8">
        <v>45706</v>
      </c>
      <c r="D486" s="1" t="s">
        <v>43</v>
      </c>
      <c r="E486" s="1" t="s">
        <v>43</v>
      </c>
      <c r="F486" s="1" t="s">
        <v>34</v>
      </c>
      <c r="G486" s="1">
        <v>46</v>
      </c>
      <c r="H486" s="1" t="s">
        <v>50</v>
      </c>
      <c r="I486" s="1" t="s">
        <v>45</v>
      </c>
      <c r="J486" s="1" t="s">
        <v>165</v>
      </c>
      <c r="K486" s="14">
        <v>3</v>
      </c>
      <c r="L486" s="1">
        <v>1049</v>
      </c>
      <c r="M486" s="1">
        <v>20</v>
      </c>
      <c r="N486" s="16">
        <f>Table1[[#This Row],[Discount]]/100</f>
        <v>0.2</v>
      </c>
      <c r="O486" s="1">
        <v>629.4</v>
      </c>
      <c r="P486" s="1">
        <v>2517.6</v>
      </c>
      <c r="Q486" s="1">
        <v>215</v>
      </c>
      <c r="R486" s="1">
        <v>2732.6</v>
      </c>
      <c r="S486" s="1" t="s">
        <v>28</v>
      </c>
      <c r="T486" s="1" t="s">
        <v>118</v>
      </c>
      <c r="U486" s="1" t="s">
        <v>30</v>
      </c>
      <c r="V486" s="11">
        <v>6</v>
      </c>
      <c r="W486" s="18">
        <v>4.5</v>
      </c>
    </row>
    <row r="487" spans="1:23" x14ac:dyDescent="0.25">
      <c r="A487" s="2" t="s">
        <v>795</v>
      </c>
      <c r="B487" s="1" t="s">
        <v>128</v>
      </c>
      <c r="C487" s="8">
        <v>45686</v>
      </c>
      <c r="D487" s="1" t="s">
        <v>83</v>
      </c>
      <c r="E487" s="1" t="s">
        <v>83</v>
      </c>
      <c r="F487" s="1" t="s">
        <v>44</v>
      </c>
      <c r="G487" s="1">
        <v>21</v>
      </c>
      <c r="H487" s="1" t="s">
        <v>57</v>
      </c>
      <c r="I487" s="1" t="s">
        <v>36</v>
      </c>
      <c r="J487" s="1" t="s">
        <v>177</v>
      </c>
      <c r="K487" s="14">
        <v>2</v>
      </c>
      <c r="L487" s="1">
        <v>5529</v>
      </c>
      <c r="M487" s="1">
        <v>15</v>
      </c>
      <c r="N487" s="16">
        <f>Table1[[#This Row],[Discount]]/100</f>
        <v>0.15</v>
      </c>
      <c r="O487" s="1">
        <v>1658.7</v>
      </c>
      <c r="P487" s="1">
        <v>9399.2999999999993</v>
      </c>
      <c r="Q487" s="1">
        <v>193</v>
      </c>
      <c r="R487" s="1">
        <v>9592.2999999999993</v>
      </c>
      <c r="S487" s="1" t="s">
        <v>28</v>
      </c>
      <c r="T487" s="1" t="s">
        <v>29</v>
      </c>
      <c r="U487" s="1" t="s">
        <v>30</v>
      </c>
      <c r="V487" s="11">
        <v>5</v>
      </c>
      <c r="W487" s="18">
        <v>4</v>
      </c>
    </row>
    <row r="488" spans="1:23" x14ac:dyDescent="0.25">
      <c r="A488" s="2" t="s">
        <v>796</v>
      </c>
      <c r="B488" s="1" t="s">
        <v>520</v>
      </c>
      <c r="C488" s="8">
        <v>45991</v>
      </c>
      <c r="D488" s="1" t="s">
        <v>140</v>
      </c>
      <c r="E488" s="1" t="s">
        <v>141</v>
      </c>
      <c r="F488" s="1" t="s">
        <v>44</v>
      </c>
      <c r="G488" s="1">
        <v>19</v>
      </c>
      <c r="H488" s="1" t="s">
        <v>25</v>
      </c>
      <c r="I488" s="1" t="s">
        <v>45</v>
      </c>
      <c r="J488" s="1" t="s">
        <v>165</v>
      </c>
      <c r="K488" s="14">
        <v>5</v>
      </c>
      <c r="L488" s="1">
        <v>1981</v>
      </c>
      <c r="M488" s="1">
        <v>20</v>
      </c>
      <c r="N488" s="16">
        <f>Table1[[#This Row],[Discount]]/100</f>
        <v>0.2</v>
      </c>
      <c r="O488" s="1">
        <v>1981</v>
      </c>
      <c r="P488" s="1">
        <v>7924</v>
      </c>
      <c r="Q488" s="1">
        <v>106</v>
      </c>
      <c r="R488" s="1">
        <v>8030</v>
      </c>
      <c r="S488" s="1" t="s">
        <v>47</v>
      </c>
      <c r="T488" s="1" t="s">
        <v>39</v>
      </c>
      <c r="U488" s="1" t="s">
        <v>30</v>
      </c>
      <c r="V488" s="11">
        <v>6</v>
      </c>
      <c r="W488" s="18">
        <v>4</v>
      </c>
    </row>
    <row r="489" spans="1:23" x14ac:dyDescent="0.25">
      <c r="A489" s="2" t="s">
        <v>797</v>
      </c>
      <c r="B489" s="1" t="s">
        <v>566</v>
      </c>
      <c r="C489" s="8">
        <v>45885</v>
      </c>
      <c r="D489" s="1" t="s">
        <v>43</v>
      </c>
      <c r="E489" s="1" t="s">
        <v>43</v>
      </c>
      <c r="F489" s="1" t="s">
        <v>34</v>
      </c>
      <c r="G489" s="1">
        <v>33</v>
      </c>
      <c r="H489" s="1" t="s">
        <v>50</v>
      </c>
      <c r="I489" s="1" t="s">
        <v>26</v>
      </c>
      <c r="J489" s="1" t="s">
        <v>79</v>
      </c>
      <c r="K489" s="14">
        <v>1</v>
      </c>
      <c r="L489" s="1">
        <v>26177</v>
      </c>
      <c r="M489" s="1">
        <v>15</v>
      </c>
      <c r="N489" s="16">
        <f>Table1[[#This Row],[Discount]]/100</f>
        <v>0.15</v>
      </c>
      <c r="O489" s="1">
        <v>3926.55</v>
      </c>
      <c r="P489" s="1">
        <v>22250.45</v>
      </c>
      <c r="Q489" s="1">
        <v>178</v>
      </c>
      <c r="R489" s="1">
        <v>22428.45</v>
      </c>
      <c r="S489" s="1" t="s">
        <v>47</v>
      </c>
      <c r="T489" s="1" t="s">
        <v>118</v>
      </c>
      <c r="U489" s="1" t="s">
        <v>30</v>
      </c>
      <c r="V489" s="11">
        <v>2</v>
      </c>
      <c r="W489" s="18">
        <v>3.5</v>
      </c>
    </row>
    <row r="490" spans="1:23" x14ac:dyDescent="0.25">
      <c r="A490" s="2" t="s">
        <v>798</v>
      </c>
      <c r="B490" s="1" t="s">
        <v>189</v>
      </c>
      <c r="C490" s="8">
        <v>45846</v>
      </c>
      <c r="D490" s="1" t="s">
        <v>73</v>
      </c>
      <c r="E490" s="1" t="s">
        <v>73</v>
      </c>
      <c r="F490" s="1" t="s">
        <v>24</v>
      </c>
      <c r="G490" s="1">
        <v>51</v>
      </c>
      <c r="H490" s="1" t="s">
        <v>35</v>
      </c>
      <c r="I490" s="1" t="s">
        <v>45</v>
      </c>
      <c r="J490" s="1" t="s">
        <v>84</v>
      </c>
      <c r="K490" s="14">
        <v>3</v>
      </c>
      <c r="L490" s="1">
        <v>676</v>
      </c>
      <c r="M490" s="1">
        <v>10</v>
      </c>
      <c r="N490" s="16">
        <f>Table1[[#This Row],[Discount]]/100</f>
        <v>0.1</v>
      </c>
      <c r="O490" s="1">
        <v>202.8</v>
      </c>
      <c r="P490" s="1">
        <v>1825.2</v>
      </c>
      <c r="Q490" s="1">
        <v>94</v>
      </c>
      <c r="R490" s="1">
        <v>1919.2</v>
      </c>
      <c r="S490" s="1" t="s">
        <v>28</v>
      </c>
      <c r="T490" s="1" t="s">
        <v>39</v>
      </c>
      <c r="U490" s="1" t="s">
        <v>30</v>
      </c>
      <c r="V490" s="11">
        <v>1</v>
      </c>
      <c r="W490" s="18">
        <v>4.5</v>
      </c>
    </row>
    <row r="491" spans="1:23" x14ac:dyDescent="0.25">
      <c r="A491" s="2" t="s">
        <v>799</v>
      </c>
      <c r="B491" s="1" t="s">
        <v>167</v>
      </c>
      <c r="C491" s="8">
        <v>46013</v>
      </c>
      <c r="D491" s="1" t="s">
        <v>120</v>
      </c>
      <c r="E491" s="1" t="s">
        <v>120</v>
      </c>
      <c r="F491" s="1" t="s">
        <v>44</v>
      </c>
      <c r="G491" s="1">
        <v>47</v>
      </c>
      <c r="H491" s="1" t="s">
        <v>25</v>
      </c>
      <c r="I491" s="1" t="s">
        <v>58</v>
      </c>
      <c r="J491" s="1" t="s">
        <v>104</v>
      </c>
      <c r="K491" s="14">
        <v>4</v>
      </c>
      <c r="L491" s="1">
        <v>3366</v>
      </c>
      <c r="M491" s="1">
        <v>10</v>
      </c>
      <c r="N491" s="16">
        <f>Table1[[#This Row],[Discount]]/100</f>
        <v>0.1</v>
      </c>
      <c r="O491" s="1">
        <v>1346.4</v>
      </c>
      <c r="P491" s="1">
        <v>12117.6</v>
      </c>
      <c r="Q491" s="1">
        <v>141</v>
      </c>
      <c r="R491" s="1">
        <v>12258.6</v>
      </c>
      <c r="S491" s="1" t="s">
        <v>52</v>
      </c>
      <c r="T491" s="1" t="s">
        <v>118</v>
      </c>
      <c r="U491" s="1" t="s">
        <v>30</v>
      </c>
      <c r="V491" s="11">
        <v>6</v>
      </c>
      <c r="W491" s="18">
        <v>4.5</v>
      </c>
    </row>
    <row r="492" spans="1:23" x14ac:dyDescent="0.25">
      <c r="A492" s="2" t="s">
        <v>800</v>
      </c>
      <c r="B492" s="1" t="s">
        <v>143</v>
      </c>
      <c r="C492" s="8">
        <v>45775</v>
      </c>
      <c r="D492" s="1" t="s">
        <v>73</v>
      </c>
      <c r="E492" s="1" t="s">
        <v>73</v>
      </c>
      <c r="F492" s="1" t="s">
        <v>34</v>
      </c>
      <c r="G492" s="1">
        <v>57</v>
      </c>
      <c r="H492" s="1" t="s">
        <v>57</v>
      </c>
      <c r="I492" s="1" t="s">
        <v>88</v>
      </c>
      <c r="J492" s="1" t="s">
        <v>162</v>
      </c>
      <c r="K492" s="14">
        <v>3</v>
      </c>
      <c r="L492" s="1">
        <v>7743</v>
      </c>
      <c r="M492" s="1">
        <v>0</v>
      </c>
      <c r="N492" s="16">
        <f>Table1[[#This Row],[Discount]]/100</f>
        <v>0</v>
      </c>
      <c r="O492" s="1">
        <v>0</v>
      </c>
      <c r="P492" s="1">
        <v>23229</v>
      </c>
      <c r="Q492" s="1">
        <v>197</v>
      </c>
      <c r="R492" s="1">
        <v>23426</v>
      </c>
      <c r="S492" s="1" t="s">
        <v>66</v>
      </c>
      <c r="T492" s="1" t="s">
        <v>118</v>
      </c>
      <c r="U492" s="1" t="s">
        <v>40</v>
      </c>
      <c r="V492" s="11">
        <v>4</v>
      </c>
      <c r="W492" s="18"/>
    </row>
    <row r="493" spans="1:23" x14ac:dyDescent="0.25">
      <c r="A493" s="2" t="s">
        <v>801</v>
      </c>
      <c r="B493" s="1" t="s">
        <v>82</v>
      </c>
      <c r="C493" s="8">
        <v>45730</v>
      </c>
      <c r="D493" s="1" t="s">
        <v>140</v>
      </c>
      <c r="E493" s="1" t="s">
        <v>141</v>
      </c>
      <c r="F493" s="1" t="s">
        <v>24</v>
      </c>
      <c r="G493" s="1">
        <v>46</v>
      </c>
      <c r="H493" s="1" t="s">
        <v>69</v>
      </c>
      <c r="I493" s="1" t="s">
        <v>36</v>
      </c>
      <c r="J493" s="1" t="s">
        <v>92</v>
      </c>
      <c r="K493" s="14">
        <v>2</v>
      </c>
      <c r="L493" s="1">
        <v>1004</v>
      </c>
      <c r="M493" s="1">
        <v>10</v>
      </c>
      <c r="N493" s="16">
        <f>Table1[[#This Row],[Discount]]/100</f>
        <v>0.1</v>
      </c>
      <c r="O493" s="1">
        <v>200.8</v>
      </c>
      <c r="P493" s="1">
        <v>1807.2</v>
      </c>
      <c r="Q493" s="1">
        <v>49</v>
      </c>
      <c r="R493" s="1">
        <v>1856.2</v>
      </c>
      <c r="S493" s="1" t="s">
        <v>28</v>
      </c>
      <c r="T493" s="1" t="s">
        <v>39</v>
      </c>
      <c r="U493" s="1" t="s">
        <v>30</v>
      </c>
      <c r="V493" s="11">
        <v>3</v>
      </c>
      <c r="W493" s="18">
        <v>3.5</v>
      </c>
    </row>
    <row r="494" spans="1:23" x14ac:dyDescent="0.25">
      <c r="A494" s="2" t="s">
        <v>802</v>
      </c>
      <c r="B494" s="1" t="s">
        <v>331</v>
      </c>
      <c r="C494" s="8">
        <v>45748</v>
      </c>
      <c r="D494" s="1" t="s">
        <v>33</v>
      </c>
      <c r="E494" s="1" t="s">
        <v>33</v>
      </c>
      <c r="F494" s="1" t="s">
        <v>24</v>
      </c>
      <c r="G494" s="1">
        <v>34</v>
      </c>
      <c r="H494" s="1" t="s">
        <v>35</v>
      </c>
      <c r="I494" s="1" t="s">
        <v>74</v>
      </c>
      <c r="J494" s="1" t="s">
        <v>97</v>
      </c>
      <c r="K494" s="14">
        <v>2</v>
      </c>
      <c r="L494" s="1">
        <v>2546</v>
      </c>
      <c r="M494" s="1">
        <v>5</v>
      </c>
      <c r="N494" s="16">
        <f>Table1[[#This Row],[Discount]]/100</f>
        <v>0.05</v>
      </c>
      <c r="O494" s="1">
        <v>254.6</v>
      </c>
      <c r="P494" s="1">
        <v>4837.3999999999996</v>
      </c>
      <c r="Q494" s="1">
        <v>25</v>
      </c>
      <c r="R494" s="1">
        <v>4862.3999999999996</v>
      </c>
      <c r="S494" s="1" t="s">
        <v>93</v>
      </c>
      <c r="T494" s="1" t="s">
        <v>29</v>
      </c>
      <c r="U494" s="1" t="s">
        <v>30</v>
      </c>
      <c r="V494" s="11">
        <v>7</v>
      </c>
      <c r="W494" s="18">
        <v>3</v>
      </c>
    </row>
    <row r="495" spans="1:23" x14ac:dyDescent="0.25">
      <c r="A495" s="2" t="s">
        <v>803</v>
      </c>
      <c r="B495" s="1" t="s">
        <v>699</v>
      </c>
      <c r="C495" s="8">
        <v>45977</v>
      </c>
      <c r="D495" s="1" t="s">
        <v>140</v>
      </c>
      <c r="E495" s="1" t="s">
        <v>141</v>
      </c>
      <c r="F495" s="1" t="s">
        <v>34</v>
      </c>
      <c r="G495" s="1">
        <v>22</v>
      </c>
      <c r="H495" s="1" t="s">
        <v>35</v>
      </c>
      <c r="I495" s="1" t="s">
        <v>26</v>
      </c>
      <c r="J495" s="1" t="s">
        <v>198</v>
      </c>
      <c r="K495" s="14">
        <v>2</v>
      </c>
      <c r="L495" s="1">
        <v>40786</v>
      </c>
      <c r="M495" s="1">
        <v>25</v>
      </c>
      <c r="N495" s="16">
        <f>Table1[[#This Row],[Discount]]/100</f>
        <v>0.25</v>
      </c>
      <c r="O495" s="1">
        <v>20393</v>
      </c>
      <c r="P495" s="1">
        <v>61179</v>
      </c>
      <c r="Q495" s="1">
        <v>154</v>
      </c>
      <c r="R495" s="1">
        <v>61333</v>
      </c>
      <c r="S495" s="1" t="s">
        <v>47</v>
      </c>
      <c r="T495" s="1" t="s">
        <v>29</v>
      </c>
      <c r="U495" s="1" t="s">
        <v>30</v>
      </c>
      <c r="V495" s="11">
        <v>4</v>
      </c>
      <c r="W495" s="18">
        <v>3</v>
      </c>
    </row>
    <row r="496" spans="1:23" x14ac:dyDescent="0.25">
      <c r="A496" s="2" t="s">
        <v>804</v>
      </c>
      <c r="B496" s="1" t="s">
        <v>421</v>
      </c>
      <c r="C496" s="8">
        <v>45808</v>
      </c>
      <c r="D496" s="1" t="s">
        <v>96</v>
      </c>
      <c r="E496" s="1" t="s">
        <v>96</v>
      </c>
      <c r="F496" s="1" t="s">
        <v>34</v>
      </c>
      <c r="G496" s="1">
        <v>27</v>
      </c>
      <c r="H496" s="1" t="s">
        <v>69</v>
      </c>
      <c r="I496" s="1" t="s">
        <v>36</v>
      </c>
      <c r="J496" s="1" t="s">
        <v>156</v>
      </c>
      <c r="K496" s="14">
        <v>3</v>
      </c>
      <c r="L496" s="1">
        <v>5446</v>
      </c>
      <c r="M496" s="1">
        <v>20</v>
      </c>
      <c r="N496" s="16">
        <f>Table1[[#This Row],[Discount]]/100</f>
        <v>0.2</v>
      </c>
      <c r="O496" s="1">
        <v>3267.6</v>
      </c>
      <c r="P496" s="1">
        <v>13070.4</v>
      </c>
      <c r="Q496" s="1">
        <v>157</v>
      </c>
      <c r="R496" s="1">
        <v>13227.4</v>
      </c>
      <c r="S496" s="1" t="s">
        <v>47</v>
      </c>
      <c r="T496" s="1" t="s">
        <v>29</v>
      </c>
      <c r="U496" s="1" t="s">
        <v>30</v>
      </c>
      <c r="V496" s="11">
        <v>7</v>
      </c>
      <c r="W496" s="18">
        <v>4</v>
      </c>
    </row>
    <row r="497" spans="1:23" x14ac:dyDescent="0.25">
      <c r="A497" s="2" t="s">
        <v>805</v>
      </c>
      <c r="B497" s="1" t="s">
        <v>527</v>
      </c>
      <c r="C497" s="8">
        <v>45913</v>
      </c>
      <c r="D497" s="1" t="s">
        <v>73</v>
      </c>
      <c r="E497" s="1" t="s">
        <v>73</v>
      </c>
      <c r="F497" s="1" t="s">
        <v>44</v>
      </c>
      <c r="G497" s="1">
        <v>47</v>
      </c>
      <c r="H497" s="1" t="s">
        <v>69</v>
      </c>
      <c r="I497" s="1" t="s">
        <v>45</v>
      </c>
      <c r="J497" s="1" t="s">
        <v>165</v>
      </c>
      <c r="K497" s="14">
        <v>1</v>
      </c>
      <c r="L497" s="1">
        <v>765</v>
      </c>
      <c r="M497" s="1">
        <v>25</v>
      </c>
      <c r="N497" s="16">
        <f>Table1[[#This Row],[Discount]]/100</f>
        <v>0.25</v>
      </c>
      <c r="O497" s="1">
        <v>191.25</v>
      </c>
      <c r="P497" s="1">
        <v>573.75</v>
      </c>
      <c r="Q497" s="1">
        <v>115</v>
      </c>
      <c r="R497" s="1">
        <v>688.75</v>
      </c>
      <c r="S497" s="1" t="s">
        <v>52</v>
      </c>
      <c r="T497" s="1" t="s">
        <v>29</v>
      </c>
      <c r="U497" s="1" t="s">
        <v>40</v>
      </c>
      <c r="V497" s="11">
        <v>5</v>
      </c>
      <c r="W497" s="18"/>
    </row>
    <row r="498" spans="1:23" x14ac:dyDescent="0.25">
      <c r="A498" s="2" t="s">
        <v>806</v>
      </c>
      <c r="B498" s="1" t="s">
        <v>419</v>
      </c>
      <c r="C498" s="8">
        <v>45889</v>
      </c>
      <c r="D498" s="1" t="s">
        <v>78</v>
      </c>
      <c r="E498" s="1" t="s">
        <v>78</v>
      </c>
      <c r="F498" s="1" t="s">
        <v>44</v>
      </c>
      <c r="G498" s="1">
        <v>33</v>
      </c>
      <c r="H498" s="1" t="s">
        <v>57</v>
      </c>
      <c r="I498" s="1" t="s">
        <v>36</v>
      </c>
      <c r="J498" s="1" t="s">
        <v>92</v>
      </c>
      <c r="K498" s="14">
        <v>4</v>
      </c>
      <c r="L498" s="1">
        <v>699</v>
      </c>
      <c r="M498" s="1">
        <v>5</v>
      </c>
      <c r="N498" s="16">
        <f>Table1[[#This Row],[Discount]]/100</f>
        <v>0.05</v>
      </c>
      <c r="O498" s="1">
        <v>139.80000000000001</v>
      </c>
      <c r="P498" s="1">
        <v>2656.2</v>
      </c>
      <c r="Q498" s="1">
        <v>71</v>
      </c>
      <c r="R498" s="1">
        <v>2727.2</v>
      </c>
      <c r="S498" s="1" t="s">
        <v>93</v>
      </c>
      <c r="T498" s="1" t="s">
        <v>29</v>
      </c>
      <c r="U498" s="1" t="s">
        <v>30</v>
      </c>
      <c r="V498" s="11">
        <v>7</v>
      </c>
      <c r="W498" s="18">
        <v>4</v>
      </c>
    </row>
    <row r="499" spans="1:23" x14ac:dyDescent="0.25">
      <c r="A499" s="2" t="s">
        <v>807</v>
      </c>
      <c r="B499" s="1" t="s">
        <v>61</v>
      </c>
      <c r="C499" s="8">
        <v>45896</v>
      </c>
      <c r="D499" s="1" t="s">
        <v>56</v>
      </c>
      <c r="E499" s="1" t="s">
        <v>56</v>
      </c>
      <c r="F499" s="1" t="s">
        <v>44</v>
      </c>
      <c r="G499" s="1">
        <v>57</v>
      </c>
      <c r="H499" s="1" t="s">
        <v>57</v>
      </c>
      <c r="I499" s="1" t="s">
        <v>88</v>
      </c>
      <c r="J499" s="1" t="s">
        <v>207</v>
      </c>
      <c r="K499" s="14">
        <v>5</v>
      </c>
      <c r="L499" s="1">
        <v>1676</v>
      </c>
      <c r="M499" s="1">
        <v>10</v>
      </c>
      <c r="N499" s="16">
        <f>Table1[[#This Row],[Discount]]/100</f>
        <v>0.1</v>
      </c>
      <c r="O499" s="1">
        <v>838</v>
      </c>
      <c r="P499" s="1">
        <v>7542</v>
      </c>
      <c r="Q499" s="1">
        <v>30</v>
      </c>
      <c r="R499" s="1">
        <v>7572</v>
      </c>
      <c r="S499" s="1" t="s">
        <v>93</v>
      </c>
      <c r="T499" s="1" t="s">
        <v>118</v>
      </c>
      <c r="U499" s="1" t="s">
        <v>30</v>
      </c>
      <c r="V499" s="11">
        <v>5</v>
      </c>
      <c r="W499" s="18">
        <v>4</v>
      </c>
    </row>
    <row r="500" spans="1:23" x14ac:dyDescent="0.25">
      <c r="A500" s="2" t="s">
        <v>808</v>
      </c>
      <c r="B500" s="1" t="s">
        <v>321</v>
      </c>
      <c r="C500" s="8">
        <v>45700</v>
      </c>
      <c r="D500" s="1" t="s">
        <v>83</v>
      </c>
      <c r="E500" s="1" t="s">
        <v>83</v>
      </c>
      <c r="F500" s="1" t="s">
        <v>24</v>
      </c>
      <c r="G500" s="1">
        <v>50</v>
      </c>
      <c r="H500" s="1" t="s">
        <v>50</v>
      </c>
      <c r="I500" s="1" t="s">
        <v>45</v>
      </c>
      <c r="J500" s="1" t="s">
        <v>111</v>
      </c>
      <c r="K500" s="14">
        <v>3</v>
      </c>
      <c r="L500" s="1">
        <v>1889</v>
      </c>
      <c r="M500" s="1">
        <v>25</v>
      </c>
      <c r="N500" s="16">
        <f>Table1[[#This Row],[Discount]]/100</f>
        <v>0.25</v>
      </c>
      <c r="O500" s="1">
        <v>1416.75</v>
      </c>
      <c r="P500" s="1">
        <v>4250.25</v>
      </c>
      <c r="Q500" s="1">
        <v>250</v>
      </c>
      <c r="R500" s="1">
        <v>4500.25</v>
      </c>
      <c r="S500" s="1" t="s">
        <v>38</v>
      </c>
      <c r="T500" s="1" t="s">
        <v>39</v>
      </c>
      <c r="U500" s="1" t="s">
        <v>30</v>
      </c>
      <c r="V500" s="11">
        <v>3</v>
      </c>
      <c r="W500" s="18">
        <v>4.5</v>
      </c>
    </row>
    <row r="501" spans="1:23" x14ac:dyDescent="0.25">
      <c r="A501" s="5" t="s">
        <v>809</v>
      </c>
      <c r="B501" s="6" t="s">
        <v>378</v>
      </c>
      <c r="C501" s="9">
        <v>46007</v>
      </c>
      <c r="D501" s="6" t="s">
        <v>43</v>
      </c>
      <c r="E501" s="6" t="s">
        <v>43</v>
      </c>
      <c r="F501" s="6" t="s">
        <v>24</v>
      </c>
      <c r="G501" s="6">
        <v>35</v>
      </c>
      <c r="H501" s="6" t="s">
        <v>35</v>
      </c>
      <c r="I501" s="6" t="s">
        <v>26</v>
      </c>
      <c r="J501" s="6" t="s">
        <v>27</v>
      </c>
      <c r="K501" s="15">
        <v>3</v>
      </c>
      <c r="L501" s="6">
        <v>5817</v>
      </c>
      <c r="M501" s="6">
        <v>10</v>
      </c>
      <c r="N501" s="16">
        <f>Table1[[#This Row],[Discount]]/100</f>
        <v>0.1</v>
      </c>
      <c r="O501" s="6">
        <v>1745.1</v>
      </c>
      <c r="P501" s="6">
        <v>15705.9</v>
      </c>
      <c r="Q501" s="6">
        <v>210</v>
      </c>
      <c r="R501" s="6">
        <v>15915.9</v>
      </c>
      <c r="S501" s="6" t="s">
        <v>66</v>
      </c>
      <c r="T501" s="6" t="s">
        <v>29</v>
      </c>
      <c r="U501" s="6" t="s">
        <v>30</v>
      </c>
      <c r="V501" s="12">
        <v>7</v>
      </c>
      <c r="W501" s="19">
        <v>3.5</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DE24D-5C6E-47E8-8F13-2CA68573C979}">
  <dimension ref="A1:T8"/>
  <sheetViews>
    <sheetView tabSelected="1" zoomScale="60" workbookViewId="0">
      <selection activeCell="Y45" sqref="Y45"/>
    </sheetView>
  </sheetViews>
  <sheetFormatPr defaultRowHeight="15" x14ac:dyDescent="0.25"/>
  <cols>
    <col min="1" max="1" width="9.140625" style="25"/>
    <col min="2" max="2" width="9.140625" style="25" customWidth="1"/>
    <col min="3" max="13" width="9.140625" style="25"/>
    <col min="14" max="14" width="9.140625" style="25" customWidth="1"/>
    <col min="15" max="15" width="5.42578125" style="25" customWidth="1"/>
    <col min="16" max="16384" width="9.140625" style="25"/>
  </cols>
  <sheetData>
    <row r="1" spans="1:20" ht="15" customHeight="1" x14ac:dyDescent="0.25">
      <c r="A1" s="28" t="s">
        <v>829</v>
      </c>
      <c r="B1" s="28"/>
      <c r="C1" s="28"/>
      <c r="D1" s="28"/>
      <c r="E1" s="28"/>
      <c r="F1" s="28"/>
      <c r="G1" s="28"/>
      <c r="H1" s="28"/>
      <c r="I1" s="28"/>
      <c r="J1" s="28"/>
      <c r="K1" s="28"/>
      <c r="L1" s="28"/>
      <c r="M1" s="28"/>
      <c r="N1" s="28"/>
      <c r="O1" s="28"/>
      <c r="P1" s="28"/>
      <c r="Q1" s="28"/>
      <c r="R1" s="28"/>
      <c r="S1" s="28"/>
      <c r="T1" s="28"/>
    </row>
    <row r="2" spans="1:20" ht="15" customHeight="1" x14ac:dyDescent="0.25">
      <c r="A2" s="28"/>
      <c r="B2" s="28"/>
      <c r="C2" s="28"/>
      <c r="D2" s="28"/>
      <c r="E2" s="28"/>
      <c r="F2" s="28"/>
      <c r="G2" s="28"/>
      <c r="H2" s="28"/>
      <c r="I2" s="28"/>
      <c r="J2" s="28"/>
      <c r="K2" s="28"/>
      <c r="L2" s="28"/>
      <c r="M2" s="28"/>
      <c r="N2" s="28"/>
      <c r="O2" s="28"/>
      <c r="P2" s="28"/>
      <c r="Q2" s="28"/>
      <c r="R2" s="28"/>
      <c r="S2" s="28"/>
      <c r="T2" s="28"/>
    </row>
    <row r="3" spans="1:20" ht="15" customHeight="1" x14ac:dyDescent="0.25">
      <c r="A3" s="28"/>
      <c r="B3" s="28"/>
      <c r="C3" s="28"/>
      <c r="D3" s="28"/>
      <c r="E3" s="28"/>
      <c r="F3" s="28"/>
      <c r="G3" s="28"/>
      <c r="H3" s="28"/>
      <c r="I3" s="28"/>
      <c r="J3" s="28"/>
      <c r="K3" s="28"/>
      <c r="L3" s="28"/>
      <c r="M3" s="28"/>
      <c r="N3" s="28"/>
      <c r="O3" s="28"/>
      <c r="P3" s="28"/>
      <c r="Q3" s="28"/>
      <c r="R3" s="28"/>
      <c r="S3" s="28"/>
      <c r="T3" s="28"/>
    </row>
    <row r="4" spans="1:20" ht="21" x14ac:dyDescent="0.35">
      <c r="A4" s="27" t="s">
        <v>830</v>
      </c>
      <c r="B4" s="27"/>
      <c r="C4" s="27"/>
      <c r="D4" s="27"/>
      <c r="E4" s="27"/>
      <c r="F4" s="27"/>
      <c r="G4" s="27"/>
      <c r="H4" s="27"/>
      <c r="I4" s="27"/>
      <c r="J4" s="27"/>
      <c r="K4" s="27"/>
      <c r="L4" s="27"/>
      <c r="M4" s="27"/>
      <c r="N4" s="27"/>
      <c r="O4" s="27"/>
      <c r="P4" s="27"/>
      <c r="Q4" s="27"/>
      <c r="R4" s="27"/>
      <c r="S4" s="27"/>
      <c r="T4" s="27"/>
    </row>
    <row r="5" spans="1:20" ht="15" customHeight="1" x14ac:dyDescent="0.25">
      <c r="A5" s="33" t="s">
        <v>831</v>
      </c>
      <c r="B5" s="33"/>
      <c r="C5" s="33"/>
      <c r="D5" s="33" t="s">
        <v>833</v>
      </c>
      <c r="E5" s="33"/>
      <c r="F5" s="33"/>
      <c r="G5" s="33" t="s">
        <v>835</v>
      </c>
      <c r="H5" s="33"/>
      <c r="I5" s="33"/>
      <c r="J5" s="33" t="s">
        <v>837</v>
      </c>
      <c r="K5" s="33"/>
      <c r="L5" s="33"/>
      <c r="M5" s="33"/>
      <c r="N5" s="33"/>
      <c r="O5" s="35"/>
      <c r="P5" s="33" t="s">
        <v>838</v>
      </c>
      <c r="Q5" s="33"/>
      <c r="R5" s="33"/>
      <c r="S5" s="33"/>
      <c r="T5" s="33"/>
    </row>
    <row r="6" spans="1:20" ht="18.75" customHeight="1" x14ac:dyDescent="0.25">
      <c r="A6" s="33"/>
      <c r="B6" s="33"/>
      <c r="C6" s="33"/>
      <c r="D6" s="33"/>
      <c r="E6" s="33"/>
      <c r="F6" s="33"/>
      <c r="G6" s="33"/>
      <c r="H6" s="33"/>
      <c r="I6" s="33"/>
      <c r="J6" s="33"/>
      <c r="K6" s="33"/>
      <c r="L6" s="33"/>
      <c r="M6" s="33"/>
      <c r="N6" s="33"/>
      <c r="O6" s="35"/>
      <c r="P6" s="33"/>
      <c r="Q6" s="33"/>
      <c r="R6" s="33"/>
      <c r="S6" s="33"/>
      <c r="T6" s="33"/>
    </row>
    <row r="7" spans="1:20" ht="15" customHeight="1" x14ac:dyDescent="0.3">
      <c r="A7" s="29">
        <f>GETPIVOTDATA("Total Sales",KPI!$B$1)</f>
        <v>11906290.849999992</v>
      </c>
      <c r="B7" s="29"/>
      <c r="C7" s="29"/>
      <c r="D7" s="30">
        <f>GETPIVOTDATA("Total Orders",KPI!$B$1)</f>
        <v>500</v>
      </c>
      <c r="E7" s="30"/>
      <c r="F7" s="30"/>
      <c r="G7" s="32">
        <f>GETPIVOTDATA("Total Quantity",KPI!$B$1)</f>
        <v>1465</v>
      </c>
      <c r="H7" s="32"/>
      <c r="I7" s="32"/>
      <c r="J7" s="26">
        <f>GETPIVOTDATA("Average of Customer_Rating",KPI!$B$1)</f>
        <v>4.0217391304347823</v>
      </c>
      <c r="K7" s="26"/>
      <c r="L7" s="26"/>
      <c r="M7" s="26"/>
      <c r="N7" s="26"/>
      <c r="O7" s="34"/>
      <c r="P7" s="26">
        <f>GETPIVOTDATA("Average of Delivery_Days",KPI!$B$1)</f>
        <v>4.1066997518610417</v>
      </c>
      <c r="Q7" s="26"/>
      <c r="R7" s="26"/>
      <c r="S7" s="26"/>
      <c r="T7" s="26"/>
    </row>
    <row r="8" spans="1:20" ht="15" customHeight="1" x14ac:dyDescent="0.3">
      <c r="A8" s="29"/>
      <c r="B8" s="29"/>
      <c r="C8" s="29"/>
      <c r="D8" s="30"/>
      <c r="E8" s="30"/>
      <c r="F8" s="30"/>
      <c r="G8" s="32"/>
      <c r="H8" s="32"/>
      <c r="I8" s="32"/>
      <c r="J8" s="26"/>
      <c r="K8" s="26"/>
      <c r="L8" s="26"/>
      <c r="M8" s="26"/>
      <c r="N8" s="26"/>
      <c r="O8" s="34"/>
      <c r="P8" s="26"/>
      <c r="Q8" s="26"/>
      <c r="R8" s="26"/>
      <c r="S8" s="26"/>
      <c r="T8" s="26"/>
    </row>
  </sheetData>
  <mergeCells count="12">
    <mergeCell ref="A1:T3"/>
    <mergeCell ref="A4:T4"/>
    <mergeCell ref="P5:T6"/>
    <mergeCell ref="P7:T8"/>
    <mergeCell ref="J5:N6"/>
    <mergeCell ref="J7:N8"/>
    <mergeCell ref="D5:F6"/>
    <mergeCell ref="D7:F8"/>
    <mergeCell ref="A5:C6"/>
    <mergeCell ref="A7:C8"/>
    <mergeCell ref="G5:I6"/>
    <mergeCell ref="G7:I8"/>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A0F01-A6DD-4FC1-8EFF-58AC4B131DC5}">
  <dimension ref="B1:F2"/>
  <sheetViews>
    <sheetView workbookViewId="0">
      <selection activeCell="D1" sqref="D1"/>
    </sheetView>
  </sheetViews>
  <sheetFormatPr defaultRowHeight="15" x14ac:dyDescent="0.25"/>
  <cols>
    <col min="2" max="2" width="12" bestFit="1" customWidth="1"/>
    <col min="3" max="3" width="11.85546875" bestFit="1" customWidth="1"/>
    <col min="4" max="4" width="13.7109375" bestFit="1" customWidth="1"/>
    <col min="5" max="5" width="26.7109375" bestFit="1" customWidth="1"/>
    <col min="6" max="6" width="24" bestFit="1" customWidth="1"/>
  </cols>
  <sheetData>
    <row r="1" spans="2:6" x14ac:dyDescent="0.25">
      <c r="B1" t="s">
        <v>832</v>
      </c>
      <c r="C1" t="s">
        <v>834</v>
      </c>
      <c r="D1" t="s">
        <v>836</v>
      </c>
      <c r="E1" t="s">
        <v>814</v>
      </c>
      <c r="F1" t="s">
        <v>815</v>
      </c>
    </row>
    <row r="2" spans="2:6" x14ac:dyDescent="0.25">
      <c r="B2">
        <v>11906290.849999992</v>
      </c>
      <c r="C2">
        <v>500</v>
      </c>
      <c r="D2" s="22">
        <v>1465</v>
      </c>
      <c r="E2">
        <v>4.0217391304347823</v>
      </c>
      <c r="F2">
        <v>4.1066997518610417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ADE29-2221-46B9-B24D-3E058AB23705}">
  <dimension ref="B1:C13"/>
  <sheetViews>
    <sheetView workbookViewId="0">
      <selection activeCell="F24" sqref="F24"/>
    </sheetView>
  </sheetViews>
  <sheetFormatPr defaultRowHeight="15" x14ac:dyDescent="0.25"/>
  <cols>
    <col min="2" max="2" width="13.140625" bestFit="1" customWidth="1"/>
    <col min="3" max="3" width="24.7109375" bestFit="1" customWidth="1"/>
  </cols>
  <sheetData>
    <row r="1" spans="2:3" x14ac:dyDescent="0.25">
      <c r="B1" s="23" t="s">
        <v>816</v>
      </c>
      <c r="C1" t="s">
        <v>812</v>
      </c>
    </row>
    <row r="2" spans="2:3" x14ac:dyDescent="0.25">
      <c r="B2" s="24" t="s">
        <v>817</v>
      </c>
      <c r="C2">
        <v>721624.45000000007</v>
      </c>
    </row>
    <row r="3" spans="2:3" x14ac:dyDescent="0.25">
      <c r="B3" s="24" t="s">
        <v>818</v>
      </c>
      <c r="C3">
        <v>1053649.8</v>
      </c>
    </row>
    <row r="4" spans="2:3" x14ac:dyDescent="0.25">
      <c r="B4" s="24" t="s">
        <v>819</v>
      </c>
      <c r="C4">
        <v>969015.79999999993</v>
      </c>
    </row>
    <row r="5" spans="2:3" x14ac:dyDescent="0.25">
      <c r="B5" s="24" t="s">
        <v>820</v>
      </c>
      <c r="C5">
        <v>1364396.95</v>
      </c>
    </row>
    <row r="6" spans="2:3" x14ac:dyDescent="0.25">
      <c r="B6" s="24" t="s">
        <v>821</v>
      </c>
      <c r="C6">
        <v>572779.64999999991</v>
      </c>
    </row>
    <row r="7" spans="2:3" x14ac:dyDescent="0.25">
      <c r="B7" s="24" t="s">
        <v>822</v>
      </c>
      <c r="C7">
        <v>999373.39999999979</v>
      </c>
    </row>
    <row r="8" spans="2:3" x14ac:dyDescent="0.25">
      <c r="B8" s="24" t="s">
        <v>823</v>
      </c>
      <c r="C8">
        <v>1005396.7</v>
      </c>
    </row>
    <row r="9" spans="2:3" x14ac:dyDescent="0.25">
      <c r="B9" s="24" t="s">
        <v>824</v>
      </c>
      <c r="C9">
        <v>855858.49999999988</v>
      </c>
    </row>
    <row r="10" spans="2:3" x14ac:dyDescent="0.25">
      <c r="B10" s="24" t="s">
        <v>825</v>
      </c>
      <c r="C10">
        <v>1032071.7499999999</v>
      </c>
    </row>
    <row r="11" spans="2:3" x14ac:dyDescent="0.25">
      <c r="B11" s="24" t="s">
        <v>826</v>
      </c>
      <c r="C11">
        <v>850444.79999999993</v>
      </c>
    </row>
    <row r="12" spans="2:3" x14ac:dyDescent="0.25">
      <c r="B12" s="24" t="s">
        <v>827</v>
      </c>
      <c r="C12">
        <v>1413337.6999999997</v>
      </c>
    </row>
    <row r="13" spans="2:3" x14ac:dyDescent="0.25">
      <c r="B13" s="24" t="s">
        <v>828</v>
      </c>
      <c r="C13">
        <v>1068341.3499999999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27B54-24E6-463A-BE3B-F27911D07C76}">
  <dimension ref="B2:C17"/>
  <sheetViews>
    <sheetView workbookViewId="0">
      <selection activeCell="T24" sqref="T24"/>
    </sheetView>
  </sheetViews>
  <sheetFormatPr defaultRowHeight="15" x14ac:dyDescent="0.25"/>
  <cols>
    <col min="2" max="2" width="13.85546875" bestFit="1" customWidth="1"/>
    <col min="3" max="3" width="24.7109375" bestFit="1" customWidth="1"/>
  </cols>
  <sheetData>
    <row r="2" spans="2:3" x14ac:dyDescent="0.25">
      <c r="B2" s="23" t="s">
        <v>816</v>
      </c>
      <c r="C2" t="s">
        <v>812</v>
      </c>
    </row>
    <row r="3" spans="2:3" x14ac:dyDescent="0.25">
      <c r="B3" s="24" t="s">
        <v>120</v>
      </c>
      <c r="C3">
        <v>524669.44999999995</v>
      </c>
    </row>
    <row r="4" spans="2:3" x14ac:dyDescent="0.25">
      <c r="B4" s="24" t="s">
        <v>73</v>
      </c>
      <c r="C4">
        <v>563004.4</v>
      </c>
    </row>
    <row r="5" spans="2:3" x14ac:dyDescent="0.25">
      <c r="B5" s="24" t="s">
        <v>96</v>
      </c>
      <c r="C5">
        <v>586757.04999999993</v>
      </c>
    </row>
    <row r="6" spans="2:3" x14ac:dyDescent="0.25">
      <c r="B6" s="24" t="s">
        <v>43</v>
      </c>
      <c r="C6">
        <v>665104.4</v>
      </c>
    </row>
    <row r="7" spans="2:3" x14ac:dyDescent="0.25">
      <c r="B7" s="24" t="s">
        <v>107</v>
      </c>
      <c r="C7">
        <v>685587.4</v>
      </c>
    </row>
    <row r="8" spans="2:3" x14ac:dyDescent="0.25">
      <c r="B8" s="24" t="s">
        <v>56</v>
      </c>
      <c r="C8">
        <v>750639.04999999993</v>
      </c>
    </row>
    <row r="9" spans="2:3" x14ac:dyDescent="0.25">
      <c r="B9" s="24" t="s">
        <v>103</v>
      </c>
      <c r="C9">
        <v>783924.05</v>
      </c>
    </row>
    <row r="10" spans="2:3" x14ac:dyDescent="0.25">
      <c r="B10" s="24" t="s">
        <v>153</v>
      </c>
      <c r="C10">
        <v>787029.5</v>
      </c>
    </row>
    <row r="11" spans="2:3" x14ac:dyDescent="0.25">
      <c r="B11" s="24" t="s">
        <v>78</v>
      </c>
      <c r="C11">
        <v>793705.04999999993</v>
      </c>
    </row>
    <row r="12" spans="2:3" x14ac:dyDescent="0.25">
      <c r="B12" s="24" t="s">
        <v>23</v>
      </c>
      <c r="C12">
        <v>851169.14999999979</v>
      </c>
    </row>
    <row r="13" spans="2:3" x14ac:dyDescent="0.25">
      <c r="B13" s="24" t="s">
        <v>110</v>
      </c>
      <c r="C13">
        <v>889477.15000000014</v>
      </c>
    </row>
    <row r="14" spans="2:3" x14ac:dyDescent="0.25">
      <c r="B14" s="24" t="s">
        <v>141</v>
      </c>
      <c r="C14">
        <v>905518.74999999988</v>
      </c>
    </row>
    <row r="15" spans="2:3" x14ac:dyDescent="0.25">
      <c r="B15" s="24" t="s">
        <v>83</v>
      </c>
      <c r="C15">
        <v>934927.95000000007</v>
      </c>
    </row>
    <row r="16" spans="2:3" x14ac:dyDescent="0.25">
      <c r="B16" s="24" t="s">
        <v>87</v>
      </c>
      <c r="C16">
        <v>1075077.8999999999</v>
      </c>
    </row>
    <row r="17" spans="2:3" x14ac:dyDescent="0.25">
      <c r="B17" s="24" t="s">
        <v>33</v>
      </c>
      <c r="C17">
        <v>1109699.5999999996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FA288-D355-4B5C-A9F6-14E5DF2CB60F}">
  <dimension ref="B2:C8"/>
  <sheetViews>
    <sheetView workbookViewId="0">
      <selection activeCell="E23" sqref="E23"/>
    </sheetView>
  </sheetViews>
  <sheetFormatPr defaultRowHeight="15" x14ac:dyDescent="0.25"/>
  <cols>
    <col min="2" max="2" width="15.42578125" bestFit="1" customWidth="1"/>
    <col min="3" max="3" width="24.7109375" bestFit="1" customWidth="1"/>
  </cols>
  <sheetData>
    <row r="2" spans="2:3" x14ac:dyDescent="0.25">
      <c r="B2" s="23" t="s">
        <v>816</v>
      </c>
      <c r="C2" t="s">
        <v>812</v>
      </c>
    </row>
    <row r="3" spans="2:3" x14ac:dyDescent="0.25">
      <c r="B3" s="24" t="s">
        <v>58</v>
      </c>
      <c r="C3">
        <v>561426.65</v>
      </c>
    </row>
    <row r="4" spans="2:3" x14ac:dyDescent="0.25">
      <c r="B4" s="24" t="s">
        <v>26</v>
      </c>
      <c r="C4">
        <v>8377695.0999999996</v>
      </c>
    </row>
    <row r="5" spans="2:3" x14ac:dyDescent="0.25">
      <c r="B5" s="24" t="s">
        <v>74</v>
      </c>
      <c r="C5">
        <v>714690.45</v>
      </c>
    </row>
    <row r="6" spans="2:3" x14ac:dyDescent="0.25">
      <c r="B6" s="24" t="s">
        <v>45</v>
      </c>
      <c r="C6">
        <v>292016.39999999997</v>
      </c>
    </row>
    <row r="7" spans="2:3" x14ac:dyDescent="0.25">
      <c r="B7" s="24" t="s">
        <v>88</v>
      </c>
      <c r="C7">
        <v>889499.14999999967</v>
      </c>
    </row>
    <row r="8" spans="2:3" x14ac:dyDescent="0.25">
      <c r="B8" s="24" t="s">
        <v>36</v>
      </c>
      <c r="C8">
        <v>1070963.0999999999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73F29-D295-45D5-901D-32F4C143BDBA}">
  <dimension ref="B2:C7"/>
  <sheetViews>
    <sheetView workbookViewId="0">
      <selection activeCell="F20" sqref="F20"/>
    </sheetView>
  </sheetViews>
  <sheetFormatPr defaultRowHeight="15" x14ac:dyDescent="0.25"/>
  <cols>
    <col min="2" max="2" width="10.42578125" bestFit="1" customWidth="1"/>
    <col min="3" max="3" width="17.28515625" bestFit="1" customWidth="1"/>
  </cols>
  <sheetData>
    <row r="2" spans="2:3" x14ac:dyDescent="0.25">
      <c r="C2" t="s">
        <v>813</v>
      </c>
    </row>
    <row r="3" spans="2:3" x14ac:dyDescent="0.25">
      <c r="B3" s="24" t="s">
        <v>80</v>
      </c>
      <c r="C3">
        <v>25</v>
      </c>
    </row>
    <row r="4" spans="2:3" x14ac:dyDescent="0.25">
      <c r="B4" s="24" t="s">
        <v>30</v>
      </c>
      <c r="C4">
        <v>322</v>
      </c>
    </row>
    <row r="5" spans="2:3" x14ac:dyDescent="0.25">
      <c r="B5" s="24" t="s">
        <v>53</v>
      </c>
      <c r="C5">
        <v>40</v>
      </c>
    </row>
    <row r="6" spans="2:3" x14ac:dyDescent="0.25">
      <c r="B6" s="24" t="s">
        <v>70</v>
      </c>
      <c r="C6">
        <v>32</v>
      </c>
    </row>
    <row r="7" spans="2:3" x14ac:dyDescent="0.25">
      <c r="B7" s="24" t="s">
        <v>40</v>
      </c>
      <c r="C7">
        <v>81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6D167-4675-4EF1-9567-21C22DBEE457}">
  <dimension ref="B2:C8"/>
  <sheetViews>
    <sheetView workbookViewId="0">
      <selection activeCell="F18" sqref="F18"/>
    </sheetView>
  </sheetViews>
  <sheetFormatPr defaultRowHeight="15" x14ac:dyDescent="0.25"/>
  <cols>
    <col min="2" max="2" width="15.85546875" bestFit="1" customWidth="1"/>
    <col min="3" max="3" width="17.28515625" bestFit="1" customWidth="1"/>
  </cols>
  <sheetData>
    <row r="2" spans="2:3" x14ac:dyDescent="0.25">
      <c r="B2" s="23" t="s">
        <v>816</v>
      </c>
      <c r="C2" t="s">
        <v>813</v>
      </c>
    </row>
    <row r="3" spans="2:3" x14ac:dyDescent="0.25">
      <c r="B3" s="24" t="s">
        <v>93</v>
      </c>
      <c r="C3">
        <v>87</v>
      </c>
    </row>
    <row r="4" spans="2:3" x14ac:dyDescent="0.25">
      <c r="B4" s="24" t="s">
        <v>47</v>
      </c>
      <c r="C4">
        <v>77</v>
      </c>
    </row>
    <row r="5" spans="2:3" x14ac:dyDescent="0.25">
      <c r="B5" s="24" t="s">
        <v>38</v>
      </c>
      <c r="C5">
        <v>80</v>
      </c>
    </row>
    <row r="6" spans="2:3" x14ac:dyDescent="0.25">
      <c r="B6" s="24" t="s">
        <v>52</v>
      </c>
      <c r="C6">
        <v>72</v>
      </c>
    </row>
    <row r="7" spans="2:3" x14ac:dyDescent="0.25">
      <c r="B7" s="24" t="s">
        <v>28</v>
      </c>
      <c r="C7">
        <v>100</v>
      </c>
    </row>
    <row r="8" spans="2:3" x14ac:dyDescent="0.25">
      <c r="B8" s="24" t="s">
        <v>66</v>
      </c>
      <c r="C8">
        <v>84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00E32-AD01-4564-88DC-E0AAAC1536C9}">
  <dimension ref="B2:C5"/>
  <sheetViews>
    <sheetView workbookViewId="0">
      <selection activeCell="D24" sqref="D24"/>
    </sheetView>
  </sheetViews>
  <sheetFormatPr defaultRowHeight="15" x14ac:dyDescent="0.25"/>
  <cols>
    <col min="2" max="2" width="13.140625" bestFit="1" customWidth="1"/>
    <col min="3" max="3" width="24.7109375" bestFit="1" customWidth="1"/>
  </cols>
  <sheetData>
    <row r="2" spans="2:3" x14ac:dyDescent="0.25">
      <c r="B2" s="23" t="s">
        <v>816</v>
      </c>
      <c r="C2" t="s">
        <v>812</v>
      </c>
    </row>
    <row r="3" spans="2:3" x14ac:dyDescent="0.25">
      <c r="B3" s="24" t="s">
        <v>29</v>
      </c>
      <c r="C3" s="31">
        <v>3883322.4</v>
      </c>
    </row>
    <row r="4" spans="2:3" x14ac:dyDescent="0.25">
      <c r="B4" s="24" t="s">
        <v>118</v>
      </c>
      <c r="C4" s="31">
        <v>4864974.1000000015</v>
      </c>
    </row>
    <row r="5" spans="2:3" x14ac:dyDescent="0.25">
      <c r="B5" s="24" t="s">
        <v>39</v>
      </c>
      <c r="C5" s="31">
        <v>3157994.3500000015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E77D7-55B9-491A-8113-A5D99346965E}">
  <dimension ref="B2:C12"/>
  <sheetViews>
    <sheetView workbookViewId="0">
      <selection activeCell="S10" sqref="S10"/>
    </sheetView>
  </sheetViews>
  <sheetFormatPr defaultRowHeight="15" x14ac:dyDescent="0.25"/>
  <cols>
    <col min="2" max="2" width="17.28515625" bestFit="1" customWidth="1"/>
    <col min="3" max="3" width="24.7109375" bestFit="1" customWidth="1"/>
  </cols>
  <sheetData>
    <row r="2" spans="2:3" x14ac:dyDescent="0.25">
      <c r="B2" s="23" t="s">
        <v>816</v>
      </c>
      <c r="C2" t="s">
        <v>812</v>
      </c>
    </row>
    <row r="3" spans="2:3" x14ac:dyDescent="0.25">
      <c r="B3" s="24" t="s">
        <v>27</v>
      </c>
      <c r="C3">
        <v>2355279.4499999997</v>
      </c>
    </row>
    <row r="4" spans="2:3" x14ac:dyDescent="0.25">
      <c r="B4" s="24" t="s">
        <v>51</v>
      </c>
      <c r="C4">
        <v>1852230.3500000003</v>
      </c>
    </row>
    <row r="5" spans="2:3" x14ac:dyDescent="0.25">
      <c r="B5" s="24" t="s">
        <v>198</v>
      </c>
      <c r="C5">
        <v>1596624.5999999999</v>
      </c>
    </row>
    <row r="6" spans="2:3" x14ac:dyDescent="0.25">
      <c r="B6" s="24" t="s">
        <v>283</v>
      </c>
      <c r="C6">
        <v>1373061.25</v>
      </c>
    </row>
    <row r="7" spans="2:3" x14ac:dyDescent="0.25">
      <c r="B7" s="24" t="s">
        <v>79</v>
      </c>
      <c r="C7">
        <v>1200499.45</v>
      </c>
    </row>
    <row r="8" spans="2:3" x14ac:dyDescent="0.25">
      <c r="B8" s="24" t="s">
        <v>159</v>
      </c>
      <c r="C8">
        <v>311284.95</v>
      </c>
    </row>
    <row r="9" spans="2:3" x14ac:dyDescent="0.25">
      <c r="B9" s="24" t="s">
        <v>37</v>
      </c>
      <c r="C9">
        <v>256863.35</v>
      </c>
    </row>
    <row r="10" spans="2:3" x14ac:dyDescent="0.25">
      <c r="B10" s="24" t="s">
        <v>89</v>
      </c>
      <c r="C10">
        <v>242258.15</v>
      </c>
    </row>
    <row r="11" spans="2:3" x14ac:dyDescent="0.25">
      <c r="B11" s="24" t="s">
        <v>213</v>
      </c>
      <c r="C11">
        <v>238310.80000000002</v>
      </c>
    </row>
    <row r="12" spans="2:3" x14ac:dyDescent="0.25">
      <c r="B12" s="24" t="s">
        <v>172</v>
      </c>
      <c r="C12">
        <v>202676.8</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Ecommerce_Data</vt:lpstr>
      <vt:lpstr>DASHBOARD</vt:lpstr>
      <vt:lpstr>KPI</vt:lpstr>
      <vt:lpstr>MONTHLY SALES</vt:lpstr>
      <vt:lpstr>SALES BY DISTRICT</vt:lpstr>
      <vt:lpstr>SALES BY CATEGORY</vt:lpstr>
      <vt:lpstr>ORDER STATUS</vt:lpstr>
      <vt:lpstr>PAYMENT METHOD</vt:lpstr>
      <vt:lpstr>SALES CHANNEL</vt:lpstr>
      <vt:lpstr>TOP 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Ritika Sha</cp:lastModifiedBy>
  <dcterms:created xsi:type="dcterms:W3CDTF">2026-08-24T13:28:12Z</dcterms:created>
  <dcterms:modified xsi:type="dcterms:W3CDTF">2026-08-28T17:46:00Z</dcterms:modified>
</cp:coreProperties>
</file>